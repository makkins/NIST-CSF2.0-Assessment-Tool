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Document Register" sheetId="3" state="visible" r:id="rId5"/>
    <sheet name="Implementation Roadmap" sheetId="4" state="visible" r:id="rId6"/>
    <sheet name="Prerequisite Activities" sheetId="5" state="visible" r:id="rId7"/>
    <sheet name="Process Flows" sheetId="6" state="visible" r:id="rId8"/>
    <sheet name="CSF Traceability" sheetId="7" state="visible" r:id="rId9"/>
    <sheet name="Hierarchy" sheetId="8" state="visible" r:id="rId10"/>
    <sheet name="Verify List" sheetId="9" state="visible" r:id="rId11"/>
  </sheets>
  <definedNames>
    <definedName function="false" hidden="true" localSheetId="6" name="_xlnm._FilterDatabase" vbProcedure="false">'CSF Traceability'!$A$1:$J$107</definedName>
    <definedName function="false" hidden="true" localSheetId="2" name="_xlnm._FilterDatabase" vbProcedure="false">'Document Register'!$A$1:$AE$143</definedName>
    <definedName function="false" hidden="true" localSheetId="7" name="_xlnm._FilterDatabase" vbProcedure="false">Hierarchy!$A$1:$F$146</definedName>
    <definedName function="false" hidden="true" localSheetId="3" name="_xlnm._FilterDatabase" vbProcedure="false">'Implementation Roadmap'!$A$1:$P$143</definedName>
    <definedName function="false" hidden="true" localSheetId="4" name="_xlnm._FilterDatabase" vbProcedure="false">'Prerequisite Activities'!$A$1:$L$30</definedName>
    <definedName function="false" hidden="true" localSheetId="5" name="_xlnm._FilterDatabase" vbProcedure="false">'Process Flows'!$A$1:$F$92</definedName>
    <definedName function="false" hidden="true" localSheetId="8" name="_xlnm._FilterDatabase" vbProcedure="false">'Verify List'!$A$1:$D$22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<sst xmlns="http://schemas.openxmlformats.org/spreadsheetml/2006/main" count="8491" uniqueCount="2316">
  <si>
    <t xml:space="preserve">NIST CSF 2.0 Document Framework: Document Register and Traceability</t>
  </si>
  <si>
    <t xml:space="preserve">Purpose: one list of every controlled document, its classification, ownership, and mapping to NIST CSF 2.0, ISO/IEC 27001:2022, NIST SP 800-53 Rev. 5, and Thai law.</t>
  </si>
  <si>
    <t xml:space="preserve">Sheets: Summary (counts by formula), Document Register (one row per document), Implementation Roadmap (recommended build order), Prerequisite Activities (meetings and workshops with agendas), Process Flows (operating chains), CSF Traceability (one row per CSF 2.0 subcategory), Hierarchy (parent to child links), Verify List (items to confirm with current Thai regulations).</t>
  </si>
  <si>
    <t xml:space="preserve">ISO 27002 Theme: the theme of the first ISO/IEC 27001:2022 Annex A control mapped to the document (A.5 Organizational, A.6 People, A.7 Physical, A.8 Technological); documents mapped only to management system clauses count as Organizational. NIST does not publish a theme grouping.</t>
  </si>
  <si>
    <t xml:space="preserve">Build Order, Wave, Track: practitioner guidance for an organization starting from scratch. Track A builds governance in overlapping waves (W0 Mandate to W5 Optimize). Track B runs threat-driven quick wins in parallel from day one.</t>
  </si>
  <si>
    <t xml:space="preserve">Capability: IT-ready = in-house IT can produce it from the template; Specialist-guided = IT drafts, a cybersecurity specialist facilitates or reviews; Specialist-required = needs a security FTE, consultant, or managed service.</t>
  </si>
  <si>
    <t xml:space="preserve">Level: Required = mandated by law or a certifiable standard when the Trigger applies; Expected = auditors, regulators, or customers expect it; Optional = adds value at higher maturity.</t>
  </si>
  <si>
    <t xml:space="preserve">Trigger: All, PDPA, ISO 27001 (certification), CII (Critical Information Infrastructure), CCA (service provider under the Computer Crime Act B.E. 2550 s.26).</t>
  </si>
  <si>
    <t xml:space="preserve">Package (cumulative): Essential = the smallest self-contained starter set every organization should have; Core = the rest of the full baseline, built on Essential (every Core document sits under an Essential document); Extended = higher maturity or specific contexts. Level answers whether a document is mandated; Package answers how much to adopt for the organization's size. A Required document applies whenever its trigger applies, whatever its package.</t>
  </si>
  <si>
    <t xml:space="preserve">Edit cells in the Document Register to track your own status; the Summary sheet recalculates.</t>
  </si>
  <si>
    <t xml:space="preserve">References as of October 2026. Items marked [VERIFY] must be confirmed against current Thai regulations before use. This pack is a sample and is not legal advice.</t>
  </si>
  <si>
    <t xml:space="preserve">Summary (formulas reference the Document Register sheet)</t>
  </si>
  <si>
    <t xml:space="preserve">By Function</t>
  </si>
  <si>
    <t xml:space="preserve">Count</t>
  </si>
  <si>
    <t xml:space="preserve">Govern</t>
  </si>
  <si>
    <t xml:space="preserve">Identify</t>
  </si>
  <si>
    <t xml:space="preserve">Protect</t>
  </si>
  <si>
    <t xml:space="preserve">Detect</t>
  </si>
  <si>
    <t xml:space="preserve">Respond</t>
  </si>
  <si>
    <t xml:space="preserve">Recover</t>
  </si>
  <si>
    <t xml:space="preserve">Total</t>
  </si>
  <si>
    <t xml:space="preserve">By Tier</t>
  </si>
  <si>
    <t xml:space="preserve">T0</t>
  </si>
  <si>
    <t xml:space="preserve">T1</t>
  </si>
  <si>
    <t xml:space="preserve">T2</t>
  </si>
  <si>
    <t xml:space="preserve">T3</t>
  </si>
  <si>
    <t xml:space="preserve">T4</t>
  </si>
  <si>
    <t xml:space="preserve">By ISO/IEC 27002 Theme</t>
  </si>
  <si>
    <t xml:space="preserve">Organizational</t>
  </si>
  <si>
    <t xml:space="preserve">People</t>
  </si>
  <si>
    <t xml:space="preserve">Physical</t>
  </si>
  <si>
    <t xml:space="preserve">Technological</t>
  </si>
  <si>
    <t xml:space="preserve">By Wave (recommended build order)</t>
  </si>
  <si>
    <t xml:space="preserve">W0 Mandate and Mobilize</t>
  </si>
  <si>
    <t xml:space="preserve">W1 Understand</t>
  </si>
  <si>
    <t xml:space="preserve">W2 Direct</t>
  </si>
  <si>
    <t xml:space="preserve">W3 Standardize</t>
  </si>
  <si>
    <t xml:space="preserve">W4 Operate and Prove</t>
  </si>
  <si>
    <t xml:space="preserve">W5 Optimize</t>
  </si>
  <si>
    <t xml:space="preserve">By Capability</t>
  </si>
  <si>
    <t xml:space="preserve">IT-ready</t>
  </si>
  <si>
    <t xml:space="preserve">Specialist-guided</t>
  </si>
  <si>
    <t xml:space="preserve">Specialist-required</t>
  </si>
  <si>
    <t xml:space="preserve">By Package</t>
  </si>
  <si>
    <t xml:space="preserve">Essential</t>
  </si>
  <si>
    <t xml:space="preserve">Core</t>
  </si>
  <si>
    <t xml:space="preserve">Extended</t>
  </si>
  <si>
    <t xml:space="preserve">By Level</t>
  </si>
  <si>
    <t xml:space="preserve">Required</t>
  </si>
  <si>
    <t xml:space="preserve">Expected</t>
  </si>
  <si>
    <t xml:space="preserve">Optional</t>
  </si>
  <si>
    <t xml:space="preserve">By Status (your organization)</t>
  </si>
  <si>
    <t xml:space="preserve">Not started</t>
  </si>
  <si>
    <t xml:space="preserve">Drafting</t>
  </si>
  <si>
    <t xml:space="preserve">In review</t>
  </si>
  <si>
    <t xml:space="preserve">Approved</t>
  </si>
  <si>
    <t xml:space="preserve">Not applicable</t>
  </si>
  <si>
    <t xml:space="preserve">CSF 2.0 subcategories covered</t>
  </si>
  <si>
    <t xml:space="preserve">CSF 2.0 subcategories in total</t>
  </si>
  <si>
    <t xml:space="preserve">Document ID</t>
  </si>
  <si>
    <t xml:space="preserve">Title (EN)</t>
  </si>
  <si>
    <t xml:space="preserve">Title (TH)</t>
  </si>
  <si>
    <t xml:space="preserve">Function</t>
  </si>
  <si>
    <t xml:space="preserve">Category</t>
  </si>
  <si>
    <t xml:space="preserve">Tier</t>
  </si>
  <si>
    <t xml:space="preserve">Type</t>
  </si>
  <si>
    <t xml:space="preserve">ISO 27002 Theme</t>
  </si>
  <si>
    <t xml:space="preserve">Package</t>
  </si>
  <si>
    <t xml:space="preserve">Level</t>
  </si>
  <si>
    <t xml:space="preserve">Trigger</t>
  </si>
  <si>
    <t xml:space="preserve">Basis</t>
  </si>
  <si>
    <t xml:space="preserve">Level for CMC</t>
  </si>
  <si>
    <t xml:space="preserve">CSF 2.0 Subcategories</t>
  </si>
  <si>
    <t xml:space="preserve">ISO/IEC 27001:2022</t>
  </si>
  <si>
    <t xml:space="preserve">NIST SP 800-53 Rev. 5</t>
  </si>
  <si>
    <t xml:space="preserve">Owner (role)</t>
  </si>
  <si>
    <t xml:space="preserve">Approver (role)</t>
  </si>
  <si>
    <t xml:space="preserve">Review Cycle</t>
  </si>
  <si>
    <t xml:space="preserve">Parent Documents</t>
  </si>
  <si>
    <t xml:space="preserve">Child Documents</t>
  </si>
  <si>
    <t xml:space="preserve">Tags</t>
  </si>
  <si>
    <t xml:space="preserve">Build Order</t>
  </si>
  <si>
    <t xml:space="preserve">Wave</t>
  </si>
  <si>
    <t xml:space="preserve">Track</t>
  </si>
  <si>
    <t xml:space="preserve">Capability</t>
  </si>
  <si>
    <t xml:space="preserve">Sourcing Options</t>
  </si>
  <si>
    <t xml:space="preserve">Prerequisite Activities</t>
  </si>
  <si>
    <t xml:space="preserve">Depends On</t>
  </si>
  <si>
    <t xml:space="preserve">File (Template EN)</t>
  </si>
  <si>
    <t xml:space="preserve">Status (your organization)</t>
  </si>
  <si>
    <t xml:space="preserve">GV-CHR-001</t>
  </si>
  <si>
    <t xml:space="preserve">Cybersecurity Governance Charter</t>
  </si>
  <si>
    <t xml:space="preserve">กฎบัตรการกำกับดูแลความมั่นคงปลอดภัยไซเบอร์</t>
  </si>
  <si>
    <t xml:space="preserve">Govern (GV)</t>
  </si>
  <si>
    <t xml:space="preserve">Organizational Context (GV.OC)</t>
  </si>
  <si>
    <t xml:space="preserve">Charter</t>
  </si>
  <si>
    <t xml:space="preserve">All</t>
  </si>
  <si>
    <t xml:space="preserve">ISO/IEC 27001:2022 Clause 5.1 and 5.3; CSA s.44 (CII)</t>
  </si>
  <si>
    <t xml:space="preserve">GV.OC-01, GV.RR-01, GV.OV-01</t>
  </si>
  <si>
    <t xml:space="preserve">5.1, 5.3, A.5.4</t>
  </si>
  <si>
    <t xml:space="preserve">PM-1, PM-2, PM-29</t>
  </si>
  <si>
    <t xml:space="preserve">Chief Information Security Officer (CISO) or Security Manager</t>
  </si>
  <si>
    <t xml:space="preserve">Board of Directors</t>
  </si>
  <si>
    <t xml:space="preserve">Annual</t>
  </si>
  <si>
    <t xml:space="preserve">GV-STR-001, GV-RPT-001, GV-STM-001, GV-CHR-002, GV-REG-003, GV-POL-001, GV-PRC-007, RC-POL-001</t>
  </si>
  <si>
    <t xml:space="preserve">Governance</t>
  </si>
  <si>
    <t xml:space="preserve">Track A</t>
  </si>
  <si>
    <t xml:space="preserve">In-house IT / Cybersecurity consultant (project)</t>
  </si>
  <si>
    <t xml:space="preserve">ACT-01 Executive Kickoff and Mandate Meeting; ACT-02 Governance Structure and RACI Workshop</t>
  </si>
  <si>
    <t xml:space="preserve">02_Template_EN/01_GV_Govern/GV.OC_Organizational-Context/GV-CHR-001_Cybersecurity-Governance-Charter.docx</t>
  </si>
  <si>
    <t xml:space="preserve">GV-STR-001</t>
  </si>
  <si>
    <t xml:space="preserve">Cybersecurity Strategy and Roadmap</t>
  </si>
  <si>
    <t xml:space="preserve">ยุทธศาสตร์และแผนงานด้านความมั่นคงปลอดภัยไซเบอร์</t>
  </si>
  <si>
    <t xml:space="preserve">Strategy</t>
  </si>
  <si>
    <t xml:space="preserve">ISO 27001</t>
  </si>
  <si>
    <t xml:space="preserve">ISO/IEC 27001:2022 Clause 6.2 (documented information on information security objectives; the roadmap section is common practice)</t>
  </si>
  <si>
    <t xml:space="preserve">GV.OC-01, GV.RM-01, GV.OV-01</t>
  </si>
  <si>
    <t xml:space="preserve">6.2</t>
  </si>
  <si>
    <t xml:space="preserve">PM-1, PM-9</t>
  </si>
  <si>
    <t xml:space="preserve">GV-PLN-001, GV-REG-008</t>
  </si>
  <si>
    <t xml:space="preserve">Cybersecurity consultant (project) / Security FTE</t>
  </si>
  <si>
    <t xml:space="preserve">ACT-11 Current State Assessment and CSF Profile Gap Analysis; ACT-12 Strategy, Roadmap, and Budget Planning Session</t>
  </si>
  <si>
    <t xml:space="preserve">ID-RPT-003, GV-RPT-001</t>
  </si>
  <si>
    <t xml:space="preserve">02_Template_EN/01_GV_Govern/GV.OC_Organizational-Context/GV-STR-001_Cybersecurity-Strategy-and-Roadmap.docx</t>
  </si>
  <si>
    <t xml:space="preserve">GV-RPT-001</t>
  </si>
  <si>
    <t xml:space="preserve">Organizational Context and ISMS Scope Statement</t>
  </si>
  <si>
    <t xml:space="preserve">เอกสารบริบทองค์กรและขอบเขตระบบบริหารจัดการความมั่นคงปลอดภัยสารสนเทศ</t>
  </si>
  <si>
    <t xml:space="preserve">Report</t>
  </si>
  <si>
    <t xml:space="preserve">ISO/IEC 27001:2022 Clause 4.3 (scope as documented information)</t>
  </si>
  <si>
    <t xml:space="preserve">GV.OC-01, GV.OC-02, GV.OC-04, GV.OC-05</t>
  </si>
  <si>
    <t xml:space="preserve">4.1, 4.2, 4.3</t>
  </si>
  <si>
    <t xml:space="preserve">PM-11, PM-8</t>
  </si>
  <si>
    <t xml:space="preserve">Information Security Steering Committee (ISSC)</t>
  </si>
  <si>
    <t xml:space="preserve">GV-REG-001, GV-REG-002</t>
  </si>
  <si>
    <t xml:space="preserve">Governance, Evidence</t>
  </si>
  <si>
    <t xml:space="preserve">ACT-04 Scope and Organizational Context Workshop</t>
  </si>
  <si>
    <t xml:space="preserve">GV-CHR-001, GV-REG-001</t>
  </si>
  <si>
    <t xml:space="preserve">02_Template_EN/01_GV_Govern/GV.OC_Organizational-Context/GV-RPT-001_Organizational-Context-and-ISMS-Scope-Statement.docx</t>
  </si>
  <si>
    <t xml:space="preserve">GV-REG-001</t>
  </si>
  <si>
    <t xml:space="preserve">Legal, Regulatory, and Contractual Requirements Register</t>
  </si>
  <si>
    <t xml:space="preserve">ทะเบียนข้อกำหนดด้านกฎหมาย ระเบียบ และสัญญา</t>
  </si>
  <si>
    <t xml:space="preserve">Register</t>
  </si>
  <si>
    <t xml:space="preserve">ISO/IEC 27001:2022 Annex A 5.31; PDPA; CSA</t>
  </si>
  <si>
    <t xml:space="preserve">GV.OC-03</t>
  </si>
  <si>
    <t xml:space="preserve">A.5.31, A.5.32, A.5.34</t>
  </si>
  <si>
    <t xml:space="preserve">PM-1, PT-1</t>
  </si>
  <si>
    <t xml:space="preserve">Legal Counsel</t>
  </si>
  <si>
    <t xml:space="preserve">Annual and on legal change</t>
  </si>
  <si>
    <t xml:space="preserve">GV-REG-006</t>
  </si>
  <si>
    <t xml:space="preserve">Governance, Evidence, Legal and Regulatory</t>
  </si>
  <si>
    <t xml:space="preserve">Legal counsel / Cybersecurity consultant (project)</t>
  </si>
  <si>
    <t xml:space="preserve">ACT-03 Legal and Regulatory Applicability Review</t>
  </si>
  <si>
    <t xml:space="preserve">02_Template_EN/01_GV_Govern/GV.OC_Organizational-Context/GV-REG-001_Legal-Regulatory-and-Contractual-Requirements-Register.docx</t>
  </si>
  <si>
    <t xml:space="preserve">GV-REG-002</t>
  </si>
  <si>
    <t xml:space="preserve">Stakeholder Requirements Register</t>
  </si>
  <si>
    <t xml:space="preserve">ทะเบียนความคาดหวังของผู้มีส่วนได้ส่วนเสีย</t>
  </si>
  <si>
    <t xml:space="preserve">ISO/IEC 27001:2022 Clause 4.2 (not mandated as documented information)</t>
  </si>
  <si>
    <t xml:space="preserve">GV.OC-02</t>
  </si>
  <si>
    <t xml:space="preserve">4.2</t>
  </si>
  <si>
    <t xml:space="preserve">PM-11</t>
  </si>
  <si>
    <t xml:space="preserve">In-house IT</t>
  </si>
  <si>
    <t xml:space="preserve">02_Template_EN/01_GV_Govern/GV.OC_Organizational-Context/GV-REG-002_Stakeholder-Requirements-Register.docx</t>
  </si>
  <si>
    <t xml:space="preserve">GV-STM-001</t>
  </si>
  <si>
    <t xml:space="preserve">Risk Appetite and Tolerance Statement</t>
  </si>
  <si>
    <t xml:space="preserve">แถลงการณ์ระดับความเสี่ยงที่ยอมรับได้และค่าเบี่ยงเบนที่ยอมรับได้</t>
  </si>
  <si>
    <t xml:space="preserve">Risk Management Strategy (GV.RM)</t>
  </si>
  <si>
    <t xml:space="preserve">Statement</t>
  </si>
  <si>
    <t xml:space="preserve">NIST IR 8286; ISO/IEC 27001:2022 Clause 6.1.2(a) risk acceptance criteria</t>
  </si>
  <si>
    <t xml:space="preserve">GV.RM-01, GV.RM-02, GV.RM-03</t>
  </si>
  <si>
    <t xml:space="preserve">6.1.2</t>
  </si>
  <si>
    <t xml:space="preserve">PM-9, PM-28</t>
  </si>
  <si>
    <t xml:space="preserve">Chief Risk Officer (CRO) or Enterprise Risk Manager</t>
  </si>
  <si>
    <t xml:space="preserve">GV-POL-002</t>
  </si>
  <si>
    <t xml:space="preserve">Cybersecurity consultant (project)</t>
  </si>
  <si>
    <t xml:space="preserve">ACT-08 Risk Appetite Workshop</t>
  </si>
  <si>
    <t xml:space="preserve">ID-RPT-002, GV-CHR-001</t>
  </si>
  <si>
    <t xml:space="preserve">02_Template_EN/01_GV_Govern/GV.RM_Risk-Management-Strategy/GV-STM-001_Risk-Appetite-and-Tolerance-Statement.docx</t>
  </si>
  <si>
    <t xml:space="preserve">Cybersecurity Risk Management Policy</t>
  </si>
  <si>
    <t xml:space="preserve">นโยบายการบริหารความเสี่ยงด้านความมั่นคงปลอดภัยไซเบอร์</t>
  </si>
  <si>
    <t xml:space="preserve">Policy</t>
  </si>
  <si>
    <t xml:space="preserve">ISO/IEC 27001:2022 Clause 6.1; CSA s.44 (CII)</t>
  </si>
  <si>
    <t xml:space="preserve">GV.RM-01, GV.RM-03, GV.RM-04, GV.RM-05, GV.RM-07, GV.SC-03</t>
  </si>
  <si>
    <t xml:space="preserve">6.1, 8.2, 8.3</t>
  </si>
  <si>
    <t xml:space="preserve">RA-1, PM-9</t>
  </si>
  <si>
    <t xml:space="preserve">Chief Executive Officer (CEO)</t>
  </si>
  <si>
    <t xml:space="preserve">GV-POL-001, GV-STM-001</t>
  </si>
  <si>
    <t xml:space="preserve">GV-PRC-001</t>
  </si>
  <si>
    <t xml:space="preserve">ACT-13 Policy Drafting and Stakeholder Review Cycle; ACT-14 Policy Approval and Communication</t>
  </si>
  <si>
    <t xml:space="preserve">02_Template_EN/01_GV_Govern/GV.RM_Risk-Management-Strategy/GV-POL-002_Cybersecurity-Risk-Management-Policy.docx</t>
  </si>
  <si>
    <t xml:space="preserve">Risk Assessment and Treatment Methodology</t>
  </si>
  <si>
    <t xml:space="preserve">ระเบียบวิธีการประเมินและจัดการความเสี่ยง</t>
  </si>
  <si>
    <t xml:space="preserve">Procedure</t>
  </si>
  <si>
    <t xml:space="preserve">ISO 27001, CII</t>
  </si>
  <si>
    <t xml:space="preserve">ISO/IEC 27001:2022 Clause 6.1.2 and 6.1.3 (documented process); CSA s.54</t>
  </si>
  <si>
    <t xml:space="preserve">GV.RM-06, ID.RA-03, ID.RA-04, ID.RA-05, ID.RA-06</t>
  </si>
  <si>
    <t xml:space="preserve">6.1.2, 6.1.3</t>
  </si>
  <si>
    <t xml:space="preserve">RA-3, PM-9</t>
  </si>
  <si>
    <t xml:space="preserve">GV-FRM-001, GV-REG-005, ID-REG-005, ID-RPT-003, ID-PRC-004</t>
  </si>
  <si>
    <t xml:space="preserve">Process, Legal and Regulatory</t>
  </si>
  <si>
    <t xml:space="preserve">ACT-09 Risk Methodology Design and Calibration Session</t>
  </si>
  <si>
    <t xml:space="preserve">02_Template_EN/01_GV_Govern/GV.RM_Risk-Management-Strategy/GV-PRC-001_Risk-Assessment-and-Treatment-Methodology.docx</t>
  </si>
  <si>
    <t xml:space="preserve">GV-FRM-001</t>
  </si>
  <si>
    <t xml:space="preserve">Risk Acceptance Form</t>
  </si>
  <si>
    <t xml:space="preserve">แบบฟอร์มการยอมรับความเสี่ยง</t>
  </si>
  <si>
    <t xml:space="preserve">Form</t>
  </si>
  <si>
    <t xml:space="preserve">ISO/IEC 27001:2022 Clause 6.1.3(f) (risk owner approval of residual risk)</t>
  </si>
  <si>
    <t xml:space="preserve">GV.RM-04, ID.RA-06</t>
  </si>
  <si>
    <t xml:space="preserve">6.1.3</t>
  </si>
  <si>
    <t xml:space="preserve">RA-7, PM-9</t>
  </si>
  <si>
    <t xml:space="preserve">Risk Owner</t>
  </si>
  <si>
    <t xml:space="preserve">Process, Evidence</t>
  </si>
  <si>
    <t xml:space="preserve">02_Template_EN/01_GV_Govern/GV.RM_Risk-Management-Strategy/GV-FRM-001_Risk-Acceptance-Form.docx</t>
  </si>
  <si>
    <t xml:space="preserve">GV-CHR-002</t>
  </si>
  <si>
    <t xml:space="preserve">Information Security Steering Committee Terms of Reference</t>
  </si>
  <si>
    <t xml:space="preserve">ขอบเขตอำนาจหน้าที่คณะกรรมการกำกับดูแลความมั่นคงปลอดภัยสารสนเทศ</t>
  </si>
  <si>
    <t xml:space="preserve">Roles, Responsibilities, and Authorities (GV.RR)</t>
  </si>
  <si>
    <t xml:space="preserve">ISO/IEC 27001:2022 Clause 5.1 and 5.3</t>
  </si>
  <si>
    <t xml:space="preserve">GV.RR-01, GV.OV-01, GV.OV-02</t>
  </si>
  <si>
    <t xml:space="preserve">5.1, 5.3</t>
  </si>
  <si>
    <t xml:space="preserve">PM-2, PM-29</t>
  </si>
  <si>
    <t xml:space="preserve">GV-PRC-006</t>
  </si>
  <si>
    <t xml:space="preserve">ACT-02 Governance Structure and RACI Workshop</t>
  </si>
  <si>
    <t xml:space="preserve">02_Template_EN/01_GV_Govern/GV.RR_Roles-Responsibilities-and-Authorities/GV-CHR-002_Information-Security-Steering-Committee-Terms-of-Reference.docx</t>
  </si>
  <si>
    <t xml:space="preserve">GV-REG-003</t>
  </si>
  <si>
    <t xml:space="preserve">Cybersecurity Roles, Responsibilities, and RACI Matrix</t>
  </si>
  <si>
    <t xml:space="preserve">ตารางบทบาท หน้าที่ และความรับผิดชอบด้านความมั่นคงปลอดภัย (RACI)</t>
  </si>
  <si>
    <t xml:space="preserve">ISO/IEC 27001:2022 Clause 5.3 and Annex A 5.2; CSA s.46 and s.52 (CII contact officers)</t>
  </si>
  <si>
    <t xml:space="preserve">GV.RR-01, GV.RR-02</t>
  </si>
  <si>
    <t xml:space="preserve">5.3, A.5.2, A.5.3</t>
  </si>
  <si>
    <t xml:space="preserve">PM-2, PS-9</t>
  </si>
  <si>
    <t xml:space="preserve">Chief Information Officer (CIO)</t>
  </si>
  <si>
    <t xml:space="preserve">GV-TPL-001</t>
  </si>
  <si>
    <t xml:space="preserve">People, Legal and Regulatory, Evidence</t>
  </si>
  <si>
    <t xml:space="preserve">02_Template_EN/01_GV_Govern/GV.RR_Roles-Responsibilities-and-Authorities/GV-REG-003_Cybersecurity-Roles-Responsibilities-and-RACI-Matrix.docx</t>
  </si>
  <si>
    <t xml:space="preserve">Cybersecurity Job Description Templates</t>
  </si>
  <si>
    <t xml:space="preserve">แม่แบบคำบรรยายลักษณะงานด้านความมั่นคงปลอดภัย</t>
  </si>
  <si>
    <t xml:space="preserve">Template</t>
  </si>
  <si>
    <t xml:space="preserve">Common practice; NICE Workforce Framework (NIST SP 800-181 Rev. 1)</t>
  </si>
  <si>
    <t xml:space="preserve">GV.RR-02, GV.RR-04</t>
  </si>
  <si>
    <t xml:space="preserve">A.5.2</t>
  </si>
  <si>
    <t xml:space="preserve">PS-9</t>
  </si>
  <si>
    <t xml:space="preserve">Human Resources Director</t>
  </si>
  <si>
    <t xml:space="preserve">People, Evidence</t>
  </si>
  <si>
    <t xml:space="preserve">Human Resources</t>
  </si>
  <si>
    <t xml:space="preserve">02_Template_EN/01_GV_Govern/GV.RR_Roles-Responsibilities-and-Authorities/GV-TPL-001_Cybersecurity-Job-Description-Templates.docx</t>
  </si>
  <si>
    <t xml:space="preserve">GV-PLN-001</t>
  </si>
  <si>
    <t xml:space="preserve">Cybersecurity Budget and Resource Plan</t>
  </si>
  <si>
    <t xml:space="preserve">แผนงบประมาณและทรัพยากรด้านความมั่นคงปลอดภัยไซเบอร์</t>
  </si>
  <si>
    <t xml:space="preserve">Plan</t>
  </si>
  <si>
    <t xml:space="preserve">ISO/IEC 27001:2022 Clause 7.1 (resources; not mandated as documented information)</t>
  </si>
  <si>
    <t xml:space="preserve">GV.RR-03</t>
  </si>
  <si>
    <t xml:space="preserve">7.1</t>
  </si>
  <si>
    <t xml:space="preserve">PM-3</t>
  </si>
  <si>
    <t xml:space="preserve">Chief Financial Officer (CFO)</t>
  </si>
  <si>
    <t xml:space="preserve">Security FTE / In-house IT</t>
  </si>
  <si>
    <t xml:space="preserve">ACT-12 Strategy, Roadmap, and Budget Planning Session</t>
  </si>
  <si>
    <t xml:space="preserve">02_Template_EN/01_GV_Govern/GV.RR_Roles-Responsibilities-and-Authorities/GV-PLN-001_Cybersecurity-Budget-and-Resource-Plan.docx</t>
  </si>
  <si>
    <t xml:space="preserve">GV-STD-001</t>
  </si>
  <si>
    <t xml:space="preserve">Human Resources Security Standard</t>
  </si>
  <si>
    <t xml:space="preserve">มาตรฐานความมั่นคงปลอดภัยด้านทรัพยากรบุคคล</t>
  </si>
  <si>
    <t xml:space="preserve">Standard</t>
  </si>
  <si>
    <t xml:space="preserve">ISO/IEC 27001:2022 Annex A 6.1 to 6.5</t>
  </si>
  <si>
    <t xml:space="preserve">GV.RR-04, PR.AA-05</t>
  </si>
  <si>
    <t xml:space="preserve">A.6.1, A.6.2, A.6.4, A.6.5</t>
  </si>
  <si>
    <t xml:space="preserve">PS-2, PS-3, PS-4, PS-5, PS-7, PS-8</t>
  </si>
  <si>
    <t xml:space="preserve">GV-POL-001</t>
  </si>
  <si>
    <t xml:space="preserve">GV-FRM-002, GV-FRM-003</t>
  </si>
  <si>
    <t xml:space="preserve">ACT-13 Policy Drafting and Stakeholder Review Cycle</t>
  </si>
  <si>
    <t xml:space="preserve">02_Template_EN/01_GV_Govern/GV.RR_Roles-Responsibilities-and-Authorities/GV-STD-001_Human-Resources-Security-Standard.docx</t>
  </si>
  <si>
    <t xml:space="preserve">GV-FRM-002</t>
  </si>
  <si>
    <t xml:space="preserve">Confidentiality and Non-Disclosure Agreement</t>
  </si>
  <si>
    <t xml:space="preserve">สัญญาการรักษาความลับ</t>
  </si>
  <si>
    <t xml:space="preserve">ISO/IEC 27001:2022 Annex A 6.6</t>
  </si>
  <si>
    <t xml:space="preserve">GV.RR-04, GV.SC-05</t>
  </si>
  <si>
    <t xml:space="preserve">A.6.6</t>
  </si>
  <si>
    <t xml:space="preserve">PS-6</t>
  </si>
  <si>
    <t xml:space="preserve">People, Evidence, Legal and Regulatory</t>
  </si>
  <si>
    <t xml:space="preserve">Legal counsel</t>
  </si>
  <si>
    <t xml:space="preserve">02_Template_EN/01_GV_Govern/GV.RR_Roles-Responsibilities-and-Authorities/GV-FRM-002_Confidentiality-and-Non-Disclosure-Agreement.docx</t>
  </si>
  <si>
    <t xml:space="preserve">GV-FRM-003</t>
  </si>
  <si>
    <t xml:space="preserve">Employee Offboarding Security Checklist</t>
  </si>
  <si>
    <t xml:space="preserve">แบบตรวจสอบด้านความมั่นคงปลอดภัยเมื่อพนักงานพ้นสภาพหรือย้ายงาน</t>
  </si>
  <si>
    <t xml:space="preserve">ISO/IEC 27001:2022 Annex A 5.11 and 6.5</t>
  </si>
  <si>
    <t xml:space="preserve">GV.RR-04, PR.AA-05, ID.AM-08</t>
  </si>
  <si>
    <t xml:space="preserve">A.5.11, A.6.5</t>
  </si>
  <si>
    <t xml:space="preserve">PS-4, PS-5</t>
  </si>
  <si>
    <t xml:space="preserve">Human Resources / In-house IT</t>
  </si>
  <si>
    <t xml:space="preserve">02_Template_EN/01_GV_Govern/GV.RR_Roles-Responsibilities-and-Authorities/GV-FRM-003_Employee-Offboarding-Security-Checklist.docx</t>
  </si>
  <si>
    <t xml:space="preserve">Information Security Policy</t>
  </si>
  <si>
    <t xml:space="preserve">นโยบายความมั่นคงปลอดภัยสารสนเทศ</t>
  </si>
  <si>
    <t xml:space="preserve">Policy (GV.PO)</t>
  </si>
  <si>
    <t xml:space="preserve">ISO/IEC 27001:2022 Clause 5.2 (documented information); PDPC Notification on Security Measures B.E. 2565</t>
  </si>
  <si>
    <t xml:space="preserve">GV.PO-01, GV.PO-02</t>
  </si>
  <si>
    <t xml:space="preserve">5.2, A.5.1</t>
  </si>
  <si>
    <t xml:space="preserve">PM-1, PL-1</t>
  </si>
  <si>
    <t xml:space="preserve">GV-POL-002, GV-STD-001, GV-PRC-002, GV-POL-003, GV-PRC-003, GV-POL-004, GV-POL-006, ID-STD-001, ID-STD-002, ID-PRC-006, PR-POL-001, PR-POL-002, PR-PLN-001, PR-POL-003, PR-STD-010, PR-PRC-006, PR-STD-011, PR-STD-012, PR-STD-013, PR-STD-015, PR-STD-016, DE-STD-001, RS-PLN-001</t>
  </si>
  <si>
    <t xml:space="preserve">ACT-03 Legal and Regulatory Applicability Review; ACT-13 Policy Drafting and Stakeholder Review Cycle; ACT-14 Policy Approval and Communication</t>
  </si>
  <si>
    <t xml:space="preserve">02_Template_EN/01_GV_Govern/GV.PO_Policy/GV-POL-001_Information-Security-Policy.docx</t>
  </si>
  <si>
    <t xml:space="preserve">GV-PRC-002</t>
  </si>
  <si>
    <t xml:space="preserve">Document Control Procedure</t>
  </si>
  <si>
    <t xml:space="preserve">ระเบียบปฏิบัติการควบคุมเอกสาร</t>
  </si>
  <si>
    <t xml:space="preserve">ISO/IEC 27001:2022 Clause 7.5 (control of documented information; a procedure is not mandated)</t>
  </si>
  <si>
    <t xml:space="preserve">GV.PO-02</t>
  </si>
  <si>
    <t xml:space="preserve">7.5, A.5.37</t>
  </si>
  <si>
    <t xml:space="preserve">PL-1, PM-1</t>
  </si>
  <si>
    <t xml:space="preserve">Process</t>
  </si>
  <si>
    <t xml:space="preserve">ACT-14 Policy Approval and Communication</t>
  </si>
  <si>
    <t xml:space="preserve">02_Template_EN/01_GV_Govern/GV.PO_Policy/GV-PRC-002_Document-Control-Procedure.docx</t>
  </si>
  <si>
    <t xml:space="preserve">GV-POL-003</t>
  </si>
  <si>
    <t xml:space="preserve">Acceptable Use Policy</t>
  </si>
  <si>
    <t xml:space="preserve">นโยบายการใช้งานทรัพย์สินสารสนเทศที่ยอมรับได้</t>
  </si>
  <si>
    <t xml:space="preserve">ISO/IEC 27001:2022 Annex A 5.10, 6.7, and 7.7</t>
  </si>
  <si>
    <t xml:space="preserve">GV.PO-01, PR.AT-01</t>
  </si>
  <si>
    <t xml:space="preserve">A.5.10, A.6.7, A.7.7</t>
  </si>
  <si>
    <t xml:space="preserve">PL-4</t>
  </si>
  <si>
    <t xml:space="preserve">GV-POL-005, PR-STD-009</t>
  </si>
  <si>
    <t xml:space="preserve">In-house IT / Human Resources</t>
  </si>
  <si>
    <t xml:space="preserve">02_Template_EN/01_GV_Govern/GV.PO_Policy/GV-POL-003_Acceptable-Use-Policy.docx</t>
  </si>
  <si>
    <t xml:space="preserve">GV-POL-005</t>
  </si>
  <si>
    <t xml:space="preserve">Generative AI Acceptable Use Policy</t>
  </si>
  <si>
    <t xml:space="preserve">นโยบายการใช้งาน Generative AI</t>
  </si>
  <si>
    <t xml:space="preserve">NIST AI RMF 1.0; NIST AI 600-1 (Generative AI Profile)</t>
  </si>
  <si>
    <t xml:space="preserve">GV.PO-01, GV.OC-03, PR.DS-10</t>
  </si>
  <si>
    <t xml:space="preserve">A.5.10</t>
  </si>
  <si>
    <t xml:space="preserve">People, AI</t>
  </si>
  <si>
    <t xml:space="preserve">Security FTE / Cybersecurity consultant (project)</t>
  </si>
  <si>
    <t xml:space="preserve">02_Template_EN/01_GV_Govern/GV.PO_Policy/GV-POL-005_Generative-AI-Acceptable-Use-Policy.docx</t>
  </si>
  <si>
    <t xml:space="preserve">GV-PRC-003</t>
  </si>
  <si>
    <t xml:space="preserve">Policy Exception Management Procedure</t>
  </si>
  <si>
    <t xml:space="preserve">ระเบียบปฏิบัติการขอยกเว้นการปฏิบัติตามนโยบาย</t>
  </si>
  <si>
    <t xml:space="preserve">ISO/IEC 27001:2022 Annex A 5.36</t>
  </si>
  <si>
    <t xml:space="preserve">GV.PO-02, ID.RA-07</t>
  </si>
  <si>
    <t xml:space="preserve">A.5.36</t>
  </si>
  <si>
    <t xml:space="preserve">PL-1, RA-7</t>
  </si>
  <si>
    <t xml:space="preserve">GV-FRM-004, GV-REG-004</t>
  </si>
  <si>
    <t xml:space="preserve">02_Template_EN/01_GV_Govern/GV.PO_Policy/GV-PRC-003_Policy-Exception-Management-Procedure.docx</t>
  </si>
  <si>
    <t xml:space="preserve">GV-FRM-004</t>
  </si>
  <si>
    <t xml:space="preserve">Policy Exception Request Form</t>
  </si>
  <si>
    <t xml:space="preserve">แบบฟอร์มขอยกเว้นการปฏิบัติตามนโยบาย</t>
  </si>
  <si>
    <t xml:space="preserve">ID.RA-07</t>
  </si>
  <si>
    <t xml:space="preserve">RA-7</t>
  </si>
  <si>
    <t xml:space="preserve">02_Template_EN/01_GV_Govern/GV.PO_Policy/GV-FRM-004_Policy-Exception-Request-Form.docx</t>
  </si>
  <si>
    <t xml:space="preserve">GV-REG-004</t>
  </si>
  <si>
    <t xml:space="preserve">Policy Exception Register</t>
  </si>
  <si>
    <t xml:space="preserve">ทะเบียนข้อยกเว้นการปฏิบัติตามนโยบาย</t>
  </si>
  <si>
    <t xml:space="preserve">ID.RA-07, GV.OV-02</t>
  </si>
  <si>
    <t xml:space="preserve">RA-7, PM-4</t>
  </si>
  <si>
    <t xml:space="preserve">Quarterly</t>
  </si>
  <si>
    <t xml:space="preserve">02_Template_EN/01_GV_Govern/GV.PO_Policy/GV-REG-004_Policy-Exception-Register.docx</t>
  </si>
  <si>
    <t xml:space="preserve">GV-REG-005</t>
  </si>
  <si>
    <t xml:space="preserve">Statement of Applicability (SoA)</t>
  </si>
  <si>
    <t xml:space="preserve">เอกสารแสดงการนำมาตรการควบคุมไปใช้ (SoA)</t>
  </si>
  <si>
    <t xml:space="preserve">ISO/IEC 27001:2022 Clause 6.1.3(d)</t>
  </si>
  <si>
    <t xml:space="preserve">GV.PO-01, GV.RM-06</t>
  </si>
  <si>
    <t xml:space="preserve">PL-2</t>
  </si>
  <si>
    <t xml:space="preserve">ACT-11 Current State Assessment and CSF Profile Gap Analysis</t>
  </si>
  <si>
    <t xml:space="preserve">ID-PLN-001, GV-RPT-001</t>
  </si>
  <si>
    <t xml:space="preserve">02_Template_EN/01_GV_Govern/GV.PO_Policy/GV-REG-005_Statement-of-Applicability-SoA.docx</t>
  </si>
  <si>
    <t xml:space="preserve">CII Code of Practice Compliance Matrix</t>
  </si>
  <si>
    <t xml:space="preserve">ตารางการปฏิบัติตามประมวลแนวทางปฏิบัติสำหรับหน่วยงานโครงสร้างพื้นฐานสำคัญทางสารสนเทศ (CII)</t>
  </si>
  <si>
    <t xml:space="preserve">CII</t>
  </si>
  <si>
    <t xml:space="preserve">CSA s.44; NCSC Notification on Code of Practice and Standard Framework B.E. 2564; CRC Notification on CII duties 2024 [VERIFY]</t>
  </si>
  <si>
    <t xml:space="preserve">GV.OC-03, GV.PO-01</t>
  </si>
  <si>
    <t xml:space="preserve">A.5.31</t>
  </si>
  <si>
    <t xml:space="preserve">PM-1</t>
  </si>
  <si>
    <t xml:space="preserve">Governance, Legal and Regulatory, Evidence</t>
  </si>
  <si>
    <t xml:space="preserve">Cybersecurity consultant (project) / Legal counsel</t>
  </si>
  <si>
    <t xml:space="preserve">ACT-03 Legal and Regulatory Applicability Review; ACT-11 Current State Assessment and CSF Profile Gap Analysis</t>
  </si>
  <si>
    <t xml:space="preserve">02_Template_EN/01_GV_Govern/GV.PO_Policy/GV-REG-006_CII-Code-of-Practice-Compliance-Matrix.docx</t>
  </si>
  <si>
    <t xml:space="preserve">GV-POL-004</t>
  </si>
  <si>
    <t xml:space="preserve">Personal Data Protection Policy</t>
  </si>
  <si>
    <t xml:space="preserve">นโยบายการคุ้มครองข้อมูลส่วนบุคคล</t>
  </si>
  <si>
    <t xml:space="preserve">PDPA</t>
  </si>
  <si>
    <t xml:space="preserve">PDPA s.37(1); PDPC Notification on Security Measures B.E. 2565</t>
  </si>
  <si>
    <t xml:space="preserve">A.5.34</t>
  </si>
  <si>
    <t xml:space="preserve">PT-1</t>
  </si>
  <si>
    <t xml:space="preserve">Data Protection Officer (DPO)</t>
  </si>
  <si>
    <t xml:space="preserve">GV-REG-007, GV-TPL-002, GV-PRC-004, GV-PRC-005, GV-TPL-004, RS-PLB-003</t>
  </si>
  <si>
    <t xml:space="preserve">Governance, Legal and Regulatory, Privacy</t>
  </si>
  <si>
    <t xml:space="preserve">DPO or privacy counsel service / Legal counsel</t>
  </si>
  <si>
    <t xml:space="preserve">GV-REG-001, GV-POL-001</t>
  </si>
  <si>
    <t xml:space="preserve">02_Template_EN/01_GV_Govern/GV.PO_Policy/GV-POL-004_Personal-Data-Protection-Policy.docx</t>
  </si>
  <si>
    <t xml:space="preserve">GV-REG-007</t>
  </si>
  <si>
    <t xml:space="preserve">Record of Processing Activities (ROPA)</t>
  </si>
  <si>
    <t xml:space="preserve">บันทึกรายการกิจกรรมการประมวลผลข้อมูลส่วนบุคคล (ROPA)</t>
  </si>
  <si>
    <t xml:space="preserve">PDPA s.39 (controller) and s.40 (processor)</t>
  </si>
  <si>
    <t xml:space="preserve">GV.OC-03, ID.AM-07</t>
  </si>
  <si>
    <t xml:space="preserve">PT-2, PT-3</t>
  </si>
  <si>
    <t xml:space="preserve">Annual and on change</t>
  </si>
  <si>
    <t xml:space="preserve">Process, Legal and Regulatory, Privacy, Evidence</t>
  </si>
  <si>
    <t xml:space="preserve">DPO or privacy counsel service</t>
  </si>
  <si>
    <t xml:space="preserve">ACT-06 Data Mapping Interviews</t>
  </si>
  <si>
    <t xml:space="preserve">ID-REG-003</t>
  </si>
  <si>
    <t xml:space="preserve">02_Template_EN/01_GV_Govern/GV.PO_Policy/GV-REG-007_Record-of-Processing-Activities-ROPA.docx</t>
  </si>
  <si>
    <t xml:space="preserve">GV-TPL-002</t>
  </si>
  <si>
    <t xml:space="preserve">Privacy Notice Template</t>
  </si>
  <si>
    <t xml:space="preserve">แม่แบบประกาศความเป็นส่วนตัว</t>
  </si>
  <si>
    <t xml:space="preserve">PDPA s.23</t>
  </si>
  <si>
    <t xml:space="preserve">PT-5</t>
  </si>
  <si>
    <t xml:space="preserve">02_Template_EN/01_GV_Govern/GV.PO_Policy/GV-TPL-002_Privacy-Notice-Template.docx</t>
  </si>
  <si>
    <t xml:space="preserve">GV-PRC-004</t>
  </si>
  <si>
    <t xml:space="preserve">Data Protection Impact Assessment (DPIA) Procedure</t>
  </si>
  <si>
    <t xml:space="preserve">ระเบียบปฏิบัติการประเมินผลกระทบด้านการคุ้มครองข้อมูลส่วนบุคคล (DPIA)</t>
  </si>
  <si>
    <t xml:space="preserve">Not explicitly mandated by the PDPA; supports the risk-based measures in PDPA s.37(1) [VERIFY current PDPC guidance]</t>
  </si>
  <si>
    <t xml:space="preserve">GV.OC-03, ID.RA-04</t>
  </si>
  <si>
    <t xml:space="preserve">RA-8</t>
  </si>
  <si>
    <t xml:space="preserve">GV-TPL-003</t>
  </si>
  <si>
    <t xml:space="preserve">Process, Legal and Regulatory, Privacy</t>
  </si>
  <si>
    <t xml:space="preserve">02_Template_EN/01_GV_Govern/GV.PO_Policy/GV-PRC-004_Data-Protection-Impact-Assessment-DPIA-Procedure.docx</t>
  </si>
  <si>
    <t xml:space="preserve">DPIA Template</t>
  </si>
  <si>
    <t xml:space="preserve">แม่แบบการประเมินผลกระทบด้านการคุ้มครองข้อมูลส่วนบุคคล (DPIA)</t>
  </si>
  <si>
    <t xml:space="preserve">Supports PDPA s.37(1)</t>
  </si>
  <si>
    <t xml:space="preserve">ID.RA-04</t>
  </si>
  <si>
    <t xml:space="preserve">ACT-27 Data Protection Impact Assessment (DPIA) Workshop</t>
  </si>
  <si>
    <t xml:space="preserve">02_Template_EN/01_GV_Govern/GV.PO_Policy/GV-TPL-003_DPIA-Template.docx</t>
  </si>
  <si>
    <t xml:space="preserve">GV-PRC-005</t>
  </si>
  <si>
    <t xml:space="preserve">Data Subject Rights Request Procedure</t>
  </si>
  <si>
    <t xml:space="preserve">ระเบียบปฏิบัติการจัดการคำขอใช้สิทธิของเจ้าของข้อมูลส่วนบุคคล</t>
  </si>
  <si>
    <t xml:space="preserve">PDPA s.30 to s.36 (data subject rights; 30-day response under s.30)</t>
  </si>
  <si>
    <t xml:space="preserve">GV-FRM-005</t>
  </si>
  <si>
    <t xml:space="preserve">02_Template_EN/01_GV_Govern/GV.PO_Policy/GV-PRC-005_Data-Subject-Rights-Request-Procedure.docx</t>
  </si>
  <si>
    <t xml:space="preserve">Data Subject Request Form</t>
  </si>
  <si>
    <t xml:space="preserve">แบบคำขอใช้สิทธิของเจ้าของข้อมูลส่วนบุคคล</t>
  </si>
  <si>
    <t xml:space="preserve">PDPA s.30 to s.36</t>
  </si>
  <si>
    <t xml:space="preserve">02_Template_EN/01_GV_Govern/GV.PO_Policy/GV-FRM-005_Data-Subject-Request-Form.docx</t>
  </si>
  <si>
    <t xml:space="preserve">GV-TPL-004</t>
  </si>
  <si>
    <t xml:space="preserve">Data Processing Agreement Template</t>
  </si>
  <si>
    <t xml:space="preserve">แม่แบบข้อตกลงการประมวลผลข้อมูลส่วนบุคคล (DPA)</t>
  </si>
  <si>
    <t xml:space="preserve">PDPA s.40; PDPC Notification on Security Measures B.E. 2565 (processor agreement)</t>
  </si>
  <si>
    <t xml:space="preserve">GV.SC-05, GV.OC-03</t>
  </si>
  <si>
    <t xml:space="preserve">A.5.20, A.5.34</t>
  </si>
  <si>
    <t xml:space="preserve">SA-9, PT-1</t>
  </si>
  <si>
    <t xml:space="preserve">GV-POL-004, GV-STD-002</t>
  </si>
  <si>
    <t xml:space="preserve">Process, Legal and Regulatory, Privacy, Evidence, Third Party</t>
  </si>
  <si>
    <t xml:space="preserve">Legal counsel / DPO or privacy counsel service</t>
  </si>
  <si>
    <t xml:space="preserve">02_Template_EN/01_GV_Govern/GV.PO_Policy/GV-TPL-004_Data-Processing-Agreement-Template.docx</t>
  </si>
  <si>
    <t xml:space="preserve">Management Review Procedure</t>
  </si>
  <si>
    <t xml:space="preserve">ระเบียบปฏิบัติการทบทวนโดยฝ่ายบริหาร</t>
  </si>
  <si>
    <t xml:space="preserve">Oversight (GV.OV)</t>
  </si>
  <si>
    <t xml:space="preserve">ISO/IEC 27001:2022 Clause 9.3</t>
  </si>
  <si>
    <t xml:space="preserve">GV.OV-01, GV.OV-02, GV.OV-03</t>
  </si>
  <si>
    <t xml:space="preserve">9.3</t>
  </si>
  <si>
    <t xml:space="preserve">PM-6, PM-9</t>
  </si>
  <si>
    <t xml:space="preserve">GV-REC-001</t>
  </si>
  <si>
    <t xml:space="preserve">ACT-24 Management Review Meeting</t>
  </si>
  <si>
    <t xml:space="preserve">02_Template_EN/01_GV_Govern/GV.OV_Oversight/GV-PRC-006_Management-Review-Procedure.docx</t>
  </si>
  <si>
    <t xml:space="preserve">Management Review Minutes</t>
  </si>
  <si>
    <t xml:space="preserve">บันทึกการประชุมทบทวนโดยฝ่ายบริหาร</t>
  </si>
  <si>
    <t xml:space="preserve">Record</t>
  </si>
  <si>
    <t xml:space="preserve">ISO/IEC 27001:2022 Clause 9.3.3 (results of management reviews)</t>
  </si>
  <si>
    <t xml:space="preserve">GV.OV-01, GV.OV-02</t>
  </si>
  <si>
    <t xml:space="preserve">PM-9</t>
  </si>
  <si>
    <t xml:space="preserve">Each meeting</t>
  </si>
  <si>
    <t xml:space="preserve">02_Template_EN/01_GV_Govern/GV.OV_Oversight/GV-REC-001_Management-Review-Minutes.docx</t>
  </si>
  <si>
    <t xml:space="preserve">GV-REG-008</t>
  </si>
  <si>
    <t xml:space="preserve">Cybersecurity Metrics Catalog (KPI and KRI)</t>
  </si>
  <si>
    <t xml:space="preserve">บัญชีตัวชี้วัดผลการดำเนินงานและตัวชี้วัดความเสี่ยงด้านไซเบอร์ (KPI และ KRI)</t>
  </si>
  <si>
    <t xml:space="preserve">ISO/IEC 27001:2022 Clause 9.1 (documented evidence of monitoring and measurement results; the catalog records definitions and results)</t>
  </si>
  <si>
    <t xml:space="preserve">GV.OV-03, ID.IM-01</t>
  </si>
  <si>
    <t xml:space="preserve">9.1</t>
  </si>
  <si>
    <t xml:space="preserve">PM-6, CA-7</t>
  </si>
  <si>
    <t xml:space="preserve">GV-TPL-005</t>
  </si>
  <si>
    <t xml:space="preserve">02_Template_EN/01_GV_Govern/GV.OV_Oversight/GV-REG-008_Cybersecurity-Metrics-Catalog-KPI-and-KRI.docx</t>
  </si>
  <si>
    <t xml:space="preserve">Board Cybersecurity Report Template</t>
  </si>
  <si>
    <t xml:space="preserve">แม่แบบรายงานด้านความมั่นคงปลอดภัยไซเบอร์ต่อคณะกรรมการ</t>
  </si>
  <si>
    <t xml:space="preserve">Common practice; NIST IR 8286 series</t>
  </si>
  <si>
    <t xml:space="preserve">GV.OV-01, GV.OV-03</t>
  </si>
  <si>
    <t xml:space="preserve">9.1, 9.3</t>
  </si>
  <si>
    <t xml:space="preserve">PM-6</t>
  </si>
  <si>
    <t xml:space="preserve">02_Template_EN/01_GV_Govern/GV.OV_Oversight/GV-TPL-005_Board-Cybersecurity-Report-Template.docx</t>
  </si>
  <si>
    <t xml:space="preserve">GV-PRC-007</t>
  </si>
  <si>
    <t xml:space="preserve">Internal Audit Procedure</t>
  </si>
  <si>
    <t xml:space="preserve">ระเบียบปฏิบัติการตรวจสอบภายในด้านความมั่นคงปลอดภัยสารสนเทศ</t>
  </si>
  <si>
    <t xml:space="preserve">ISO/IEC 27001:2022 Clause 9.2; CSA s.54</t>
  </si>
  <si>
    <t xml:space="preserve">GV.OV-02, ID.IM-01</t>
  </si>
  <si>
    <t xml:space="preserve">9.2, A.5.35</t>
  </si>
  <si>
    <t xml:space="preserve">CA-2, CA-7</t>
  </si>
  <si>
    <t xml:space="preserve">Head of Internal Audit</t>
  </si>
  <si>
    <t xml:space="preserve">Audit Committee</t>
  </si>
  <si>
    <t xml:space="preserve">GV-PLN-002, GV-TPL-006</t>
  </si>
  <si>
    <t xml:space="preserve">Governance, Legal and Regulatory</t>
  </si>
  <si>
    <t xml:space="preserve">Co-sourced internal audit</t>
  </si>
  <si>
    <t xml:space="preserve">ACT-25 Internal Audit Planning and Fieldwork</t>
  </si>
  <si>
    <t xml:space="preserve">02_Template_EN/01_GV_Govern/GV.OV_Oversight/GV-PRC-007_Internal-Audit-Procedure.docx</t>
  </si>
  <si>
    <t xml:space="preserve">GV-PLN-002</t>
  </si>
  <si>
    <t xml:space="preserve">Internal Audit Program</t>
  </si>
  <si>
    <t xml:space="preserve">แผนการตรวจสอบภายในประจำปี</t>
  </si>
  <si>
    <t xml:space="preserve">ISO/IEC 27001:2022 Clause 9.2.2 (audit program); CSA s.54 (annual audit)</t>
  </si>
  <si>
    <t xml:space="preserve">GV.OV-02</t>
  </si>
  <si>
    <t xml:space="preserve">9.2</t>
  </si>
  <si>
    <t xml:space="preserve">CA-2</t>
  </si>
  <si>
    <t xml:space="preserve">02_Template_EN/01_GV_Govern/GV.OV_Oversight/GV-PLN-002_Internal-Audit-Program.docx</t>
  </si>
  <si>
    <t xml:space="preserve">GV-TPL-006</t>
  </si>
  <si>
    <t xml:space="preserve">Internal Audit Report Template</t>
  </si>
  <si>
    <t xml:space="preserve">แม่แบบรายงานผลการตรวจสอบภายใน</t>
  </si>
  <si>
    <t xml:space="preserve">ISO/IEC 27001:2022 Clause 9.2.2 (audit results); CSA s.54 (summary report to NCSA within 30 days)</t>
  </si>
  <si>
    <t xml:space="preserve">02_Template_EN/01_GV_Govern/GV.OV_Oversight/GV-TPL-006_Internal-Audit-Report-Template.docx</t>
  </si>
  <si>
    <t xml:space="preserve">GV-POL-006</t>
  </si>
  <si>
    <t xml:space="preserve">Third-Party and Supply Chain Security Policy</t>
  </si>
  <si>
    <t xml:space="preserve">นโยบายความมั่นคงปลอดภัยด้านผู้ให้บริการภายนอกและห่วงโซ่อุปทาน</t>
  </si>
  <si>
    <t xml:space="preserve">Cybersecurity Supply Chain Risk Management (GV.SC)</t>
  </si>
  <si>
    <t xml:space="preserve">ISO/IEC 27001:2022 Annex A 5.19; NIST SP 800-161 Rev. 1</t>
  </si>
  <si>
    <t xml:space="preserve">GV.SC-01, GV.SC-02, GV.SC-03</t>
  </si>
  <si>
    <t xml:space="preserve">A.5.19, A.5.21</t>
  </si>
  <si>
    <t xml:space="preserve">SR-1, SA-9</t>
  </si>
  <si>
    <t xml:space="preserve">GV-PRC-008, GV-STD-002, GV-STD-003, PR-STD-014</t>
  </si>
  <si>
    <t xml:space="preserve">Process, Third Party</t>
  </si>
  <si>
    <t xml:space="preserve">GV-POL-001, GV-REG-009</t>
  </si>
  <si>
    <t xml:space="preserve">02_Template_EN/01_GV_Govern/GV.SC_Cybersecurity-Supply-Chain-Risk-Management/GV-POL-006_Third-Party-and-Supply-Chain-Security-Policy.docx</t>
  </si>
  <si>
    <t xml:space="preserve">GV-PRC-008</t>
  </si>
  <si>
    <t xml:space="preserve">Third-Party Risk Management Procedure</t>
  </si>
  <si>
    <t xml:space="preserve">ระเบียบปฏิบัติการบริหารความเสี่ยงผู้ให้บริการภายนอก</t>
  </si>
  <si>
    <t xml:space="preserve">ISO/IEC 27001:2022 Annex A 5.19 and 5.22; NIST SP 800-161 Rev. 1</t>
  </si>
  <si>
    <t xml:space="preserve">GV.SC-04, GV.SC-06, GV.SC-07, GV.SC-10, ID.RA-10</t>
  </si>
  <si>
    <t xml:space="preserve">A.5.19, A.5.22</t>
  </si>
  <si>
    <t xml:space="preserve">SR-2, SR-6, SA-9</t>
  </si>
  <si>
    <t xml:space="preserve">GV-REG-009, GV-FRM-006, GV-FRM-007</t>
  </si>
  <si>
    <t xml:space="preserve">ACT-16 Supplier Tiering Workshop</t>
  </si>
  <si>
    <t xml:space="preserve">02_Template_EN/01_GV_Govern/GV.SC_Cybersecurity-Supply-Chain-Risk-Management/GV-PRC-008_Third-Party-Risk-Management-Procedure.docx</t>
  </si>
  <si>
    <t xml:space="preserve">GV-REG-009</t>
  </si>
  <si>
    <t xml:space="preserve">Supplier Inventory and Criticality Register</t>
  </si>
  <si>
    <t xml:space="preserve">ทะเบียนผู้ให้บริการและระดับความสำคัญ</t>
  </si>
  <si>
    <t xml:space="preserve">ISO/IEC 27001:2022 Annex A 5.19</t>
  </si>
  <si>
    <t xml:space="preserve">GV.SC-04, ID.AM-04</t>
  </si>
  <si>
    <t xml:space="preserve">A.5.19</t>
  </si>
  <si>
    <t xml:space="preserve">SR-6, PM-30</t>
  </si>
  <si>
    <t xml:space="preserve">Procurement Manager</t>
  </si>
  <si>
    <t xml:space="preserve">Semi-annual</t>
  </si>
  <si>
    <t xml:space="preserve">Process, Third Party, Evidence</t>
  </si>
  <si>
    <t xml:space="preserve">02_Template_EN/01_GV_Govern/GV.SC_Cybersecurity-Supply-Chain-Risk-Management/GV-REG-009_Supplier-Inventory-and-Criticality-Register.docx</t>
  </si>
  <si>
    <t xml:space="preserve">GV-FRM-006</t>
  </si>
  <si>
    <t xml:space="preserve">Vendor Security Assessment Questionnaire</t>
  </si>
  <si>
    <t xml:space="preserve">แบบสอบถามประเมินความมั่นคงปลอดภัยของผู้ให้บริการ</t>
  </si>
  <si>
    <t xml:space="preserve">ISO/IEC 27001:2022 Annex A 5.19 and 5.21</t>
  </si>
  <si>
    <t xml:space="preserve">GV.SC-06, GV.SC-07, ID.RA-10</t>
  </si>
  <si>
    <t xml:space="preserve">SR-6, SA-9</t>
  </si>
  <si>
    <t xml:space="preserve">02_Template_EN/01_GV_Govern/GV.SC_Cybersecurity-Supply-Chain-Risk-Management/GV-FRM-006_Vendor-Security-Assessment-Questionnaire.docx</t>
  </si>
  <si>
    <t xml:space="preserve">GV-STD-002</t>
  </si>
  <si>
    <t xml:space="preserve">Supplier Security Requirements Standard</t>
  </si>
  <si>
    <t xml:space="preserve">มาตรฐานข้อกำหนดความมั่นคงปลอดภัยในสัญญาผู้ให้บริการ</t>
  </si>
  <si>
    <t xml:space="preserve">ISO/IEC 27001:2022 Annex A 5.20; PDPA s.40</t>
  </si>
  <si>
    <t xml:space="preserve">GV.SC-05, GV.SC-08</t>
  </si>
  <si>
    <t xml:space="preserve">A.5.20, A.5.21</t>
  </si>
  <si>
    <t xml:space="preserve">SA-4, SA-9, SR-5</t>
  </si>
  <si>
    <t xml:space="preserve">GV-TPL-004, DE-GDL-001</t>
  </si>
  <si>
    <t xml:space="preserve">Security FTE / Legal counsel</t>
  </si>
  <si>
    <t xml:space="preserve">02_Template_EN/01_GV_Govern/GV.SC_Cybersecurity-Supply-Chain-Risk-Management/GV-STD-002_Supplier-Security-Requirements-Standard.docx</t>
  </si>
  <si>
    <t xml:space="preserve">GV-STD-003</t>
  </si>
  <si>
    <t xml:space="preserve">Secure Acquisition Standard</t>
  </si>
  <si>
    <t xml:space="preserve">มาตรฐานการจัดหาระบบและผลิตภัณฑ์อย่างมั่นคงปลอดภัย</t>
  </si>
  <si>
    <t xml:space="preserve">ISO/IEC 27001:2022 Annex A 5.21 and 5.23; NIST SP 800-161 Rev. 1</t>
  </si>
  <si>
    <t xml:space="preserve">GV.SC-09, ID.RA-09, ID.RA-10</t>
  </si>
  <si>
    <t xml:space="preserve">A.5.21, A.5.23</t>
  </si>
  <si>
    <t xml:space="preserve">SA-4, SR-3, SR-11</t>
  </si>
  <si>
    <t xml:space="preserve">Technology, Third Party, Cloud</t>
  </si>
  <si>
    <t xml:space="preserve">02_Template_EN/01_GV_Govern/GV.SC_Cybersecurity-Supply-Chain-Risk-Management/GV-STD-003_Secure-Acquisition-Standard.docx</t>
  </si>
  <si>
    <t xml:space="preserve">GV-FRM-007</t>
  </si>
  <si>
    <t xml:space="preserve">Supplier Offboarding Checklist</t>
  </si>
  <si>
    <t xml:space="preserve">แบบตรวจสอบการยุติความสัมพันธ์กับผู้ให้บริการ</t>
  </si>
  <si>
    <t xml:space="preserve">ISO/IEC 27001:2022 Annex A 5.20</t>
  </si>
  <si>
    <t xml:space="preserve">GV.SC-10</t>
  </si>
  <si>
    <t xml:space="preserve">A.5.20</t>
  </si>
  <si>
    <t xml:space="preserve">SA-9, PS-7</t>
  </si>
  <si>
    <t xml:space="preserve">02_Template_EN/01_GV_Govern/GV.SC_Cybersecurity-Supply-Chain-Risk-Management/GV-FRM-007_Supplier-Offboarding-Checklist.docx</t>
  </si>
  <si>
    <t xml:space="preserve">ID-STD-001</t>
  </si>
  <si>
    <t xml:space="preserve">Asset Management Standard</t>
  </si>
  <si>
    <t xml:space="preserve">มาตรฐานการบริหารจัดการทรัพย์สินสารสนเทศ</t>
  </si>
  <si>
    <t xml:space="preserve">Identify (ID)</t>
  </si>
  <si>
    <t xml:space="preserve">Asset Management (ID.AM)</t>
  </si>
  <si>
    <t xml:space="preserve">ISO/IEC 27001:2022 Annex A 5.9 and 5.11; CIS Controls v8.1 Controls 1 and 2</t>
  </si>
  <si>
    <t xml:space="preserve">ID.AM-01, ID.AM-02, ID.AM-04, ID.AM-05, ID.AM-07, ID.AM-08</t>
  </si>
  <si>
    <t xml:space="preserve">A.5.9, A.5.11</t>
  </si>
  <si>
    <t xml:space="preserve">CM-8, PM-5</t>
  </si>
  <si>
    <t xml:space="preserve">IT Infrastructure Manager</t>
  </si>
  <si>
    <t xml:space="preserve">ID-PRC-001, ID-REG-001, ID-REG-002, ID-REG-003, ID-RPT-001, ID-REG-004</t>
  </si>
  <si>
    <t xml:space="preserve">Technology</t>
  </si>
  <si>
    <t xml:space="preserve">02_Template_EN/02_ID_Identify/ID.AM_Asset-Management/ID-STD-001_Asset-Management-Standard.docx</t>
  </si>
  <si>
    <t xml:space="preserve">ID-PRC-001</t>
  </si>
  <si>
    <t xml:space="preserve">Asset Lifecycle Management Procedure</t>
  </si>
  <si>
    <t xml:space="preserve">ระเบียบปฏิบัติการบริหารวงจรชีวิตทรัพย์สิน</t>
  </si>
  <si>
    <t xml:space="preserve">ISO/IEC 27001:2022 Annex A 5.9, 7.13, and 7.14</t>
  </si>
  <si>
    <t xml:space="preserve">ID.AM-08, PR.PS-03</t>
  </si>
  <si>
    <t xml:space="preserve">A.5.9, A.7.13, A.7.14</t>
  </si>
  <si>
    <t xml:space="preserve">CM-8, MA-2, MP-6</t>
  </si>
  <si>
    <t xml:space="preserve">ID-FRM-001</t>
  </si>
  <si>
    <t xml:space="preserve">02_Template_EN/02_ID_Identify/ID.AM_Asset-Management/ID-PRC-001_Asset-Lifecycle-Management-Procedure.docx</t>
  </si>
  <si>
    <t xml:space="preserve">ID-REG-001</t>
  </si>
  <si>
    <t xml:space="preserve">Hardware Asset Inventory</t>
  </si>
  <si>
    <t xml:space="preserve">ทะเบียนทรัพย์สินฮาร์ดแวร์</t>
  </si>
  <si>
    <t xml:space="preserve">ISO/IEC 27001:2022 Annex A 5.9; CIS Controls v8.1 Control 1</t>
  </si>
  <si>
    <t xml:space="preserve">ID.AM-01, ID.AM-05</t>
  </si>
  <si>
    <t xml:space="preserve">A.5.9</t>
  </si>
  <si>
    <t xml:space="preserve">CM-8</t>
  </si>
  <si>
    <t xml:space="preserve">Continuous; reconcile quarterly</t>
  </si>
  <si>
    <t xml:space="preserve">Technology, Evidence</t>
  </si>
  <si>
    <t xml:space="preserve">ACT-05 Asset Discovery and Inventory Reconciliation</t>
  </si>
  <si>
    <t xml:space="preserve">02_Template_EN/02_ID_Identify/ID.AM_Asset-Management/ID-REG-001_Hardware-Asset-Inventory.docx</t>
  </si>
  <si>
    <t xml:space="preserve">ID-REG-002</t>
  </si>
  <si>
    <t xml:space="preserve">Software and Service Inventory</t>
  </si>
  <si>
    <t xml:space="preserve">ทะเบียนซอฟต์แวร์และบริการ</t>
  </si>
  <si>
    <t xml:space="preserve">ISO/IEC 27001:2022 Annex A 5.9; CIS Controls v8.1 Control 2</t>
  </si>
  <si>
    <t xml:space="preserve">ID.AM-02, ID.AM-04, ID.AM-05</t>
  </si>
  <si>
    <t xml:space="preserve">CM-8, CM-10</t>
  </si>
  <si>
    <t xml:space="preserve">02_Template_EN/02_ID_Identify/ID.AM_Asset-Management/ID-REG-002_Software-and-Service-Inventory.docx</t>
  </si>
  <si>
    <t xml:space="preserve">Data Inventory and Data Flow Register</t>
  </si>
  <si>
    <t xml:space="preserve">ทะเบียนข้อมูลและการไหลของข้อมูล</t>
  </si>
  <si>
    <t xml:space="preserve">ISO/IEC 27001:2022 Annex A 5.9 and 5.12; supports PDPA s.39</t>
  </si>
  <si>
    <t xml:space="preserve">ID.AM-03, ID.AM-07</t>
  </si>
  <si>
    <t xml:space="preserve">A.5.9, A.5.12, A.5.14</t>
  </si>
  <si>
    <t xml:space="preserve">PM-5(1), CM-12</t>
  </si>
  <si>
    <t xml:space="preserve">DPO or privacy counsel service / In-house IT</t>
  </si>
  <si>
    <t xml:space="preserve">02_Template_EN/02_ID_Identify/ID.AM_Asset-Management/ID-REG-003_Data-Inventory-and-Data-Flow-Register.docx</t>
  </si>
  <si>
    <t xml:space="preserve">ID-RPT-001</t>
  </si>
  <si>
    <t xml:space="preserve">Network Architecture and Data Flow Diagram</t>
  </si>
  <si>
    <t xml:space="preserve">แผนผังสถาปัตยกรรมเครือข่ายและการไหลของข้อมูล</t>
  </si>
  <si>
    <t xml:space="preserve">ISO/IEC 27001:2022 Annex A 8.20 and 8.22; CIS Controls v8.1 Control 12</t>
  </si>
  <si>
    <t xml:space="preserve">ID.AM-03, PR.IR-01</t>
  </si>
  <si>
    <t xml:space="preserve">A.8.20, A.8.22</t>
  </si>
  <si>
    <t xml:space="preserve">PL-8, CA-9</t>
  </si>
  <si>
    <t xml:space="preserve">Annual and on major change</t>
  </si>
  <si>
    <t xml:space="preserve">02_Template_EN/02_ID_Identify/ID.AM_Asset-Management/ID-RPT-001_Network-Architecture-and-Data-Flow-Diagram.docx</t>
  </si>
  <si>
    <t xml:space="preserve">ID-REG-004</t>
  </si>
  <si>
    <t xml:space="preserve">OT and Medical Device Inventory</t>
  </si>
  <si>
    <t xml:space="preserve">ทะเบียนอุปกรณ์เทคโนโลยีปฏิบัติการ (OT) และอุปกรณ์การแพทย์</t>
  </si>
  <si>
    <t xml:space="preserve">NIST SP 800-82 Rev. 3; IEC 80001-1</t>
  </si>
  <si>
    <t xml:space="preserve">ID.AM-01, ID.AM-02, ID.AM-05</t>
  </si>
  <si>
    <t xml:space="preserve">Facilities Manager</t>
  </si>
  <si>
    <t xml:space="preserve">Technology, Evidence, OT and Medical Device</t>
  </si>
  <si>
    <t xml:space="preserve">02_Template_EN/02_ID_Identify/ID.AM_Asset-Management/ID-REG-004_OT-and-Medical-Device-Inventory.docx</t>
  </si>
  <si>
    <t xml:space="preserve">ID-RPT-002</t>
  </si>
  <si>
    <t xml:space="preserve">Business Impact Analysis (BIA)</t>
  </si>
  <si>
    <t xml:space="preserve">การวิเคราะห์ผลกระทบทางธุรกิจ (BIA)</t>
  </si>
  <si>
    <t xml:space="preserve">ISO 22301:2019 Clause 8.2.2; CRC Notification on CII duties 2024 (BCP criteria) [VERIFY]</t>
  </si>
  <si>
    <t xml:space="preserve">Expected (high priority for CII)</t>
  </si>
  <si>
    <t xml:space="preserve">ID.AM-05, GV.OC-04, GV.OC-05</t>
  </si>
  <si>
    <t xml:space="preserve">A.5.29, A.5.30</t>
  </si>
  <si>
    <t xml:space="preserve">CP-2(8), RA-9</t>
  </si>
  <si>
    <t xml:space="preserve">Business Continuity Management (BCM) Coordinator</t>
  </si>
  <si>
    <t xml:space="preserve">RC-POL-001</t>
  </si>
  <si>
    <t xml:space="preserve">Process, Legal and Regulatory, Evidence, Resilience</t>
  </si>
  <si>
    <t xml:space="preserve">ACT-07 Business Impact Analysis (BIA) Interviews and Validation Workshop</t>
  </si>
  <si>
    <t xml:space="preserve">ID-REG-001, ID-REG-002</t>
  </si>
  <si>
    <t xml:space="preserve">02_Template_EN/02_ID_Identify/ID.AM_Asset-Management/ID-RPT-002_Business-Impact-Analysis-BIA.docx</t>
  </si>
  <si>
    <t xml:space="preserve">Media Sanitization and Disposal Record</t>
  </si>
  <si>
    <t xml:space="preserve">บันทึกการทำลายข้อมูลและการจำหน่ายอุปกรณ์</t>
  </si>
  <si>
    <t xml:space="preserve">ISO/IEC 27001:2022 Annex A 7.14 and 8.10; PDPA s.37(3); NIST SP 800-88</t>
  </si>
  <si>
    <t xml:space="preserve">ID.AM-08, PR.DS-01</t>
  </si>
  <si>
    <t xml:space="preserve">A.7.10, A.7.14, A.8.10</t>
  </si>
  <si>
    <t xml:space="preserve">MP-6</t>
  </si>
  <si>
    <t xml:space="preserve">Technology, Legal and Regulatory, Privacy, Evidence</t>
  </si>
  <si>
    <t xml:space="preserve">02_Template_EN/02_ID_Identify/ID.AM_Asset-Management/ID-FRM-001_Media-Sanitization-and-Disposal-Record.docx</t>
  </si>
  <si>
    <t xml:space="preserve">ID-REG-005</t>
  </si>
  <si>
    <t xml:space="preserve">IT and Cybersecurity Risk Register</t>
  </si>
  <si>
    <t xml:space="preserve">ทะเบียนความเสี่ยงด้าน IT และความมั่นคงปลอดภัยไซเบอร์</t>
  </si>
  <si>
    <t xml:space="preserve">Risk Assessment (ID.RA)</t>
  </si>
  <si>
    <t xml:space="preserve">ISO/IEC 27001:2022 Clause 8.2 (results of risk assessments); CSA s.54</t>
  </si>
  <si>
    <t xml:space="preserve">ID.RA-03, ID.RA-04, ID.RA-05, ID.RA-06, GV.RM-06</t>
  </si>
  <si>
    <t xml:space="preserve">6.1.2, 8.2</t>
  </si>
  <si>
    <t xml:space="preserve">RA-3, PM-28</t>
  </si>
  <si>
    <t xml:space="preserve">ID-PLN-001</t>
  </si>
  <si>
    <t xml:space="preserve">Process, Legal and Regulatory, Evidence</t>
  </si>
  <si>
    <t xml:space="preserve">ACT-10 Risk Assessment Workshops</t>
  </si>
  <si>
    <t xml:space="preserve">GV-PRC-001, ID-REG-001, ID-RPT-002</t>
  </si>
  <si>
    <t xml:space="preserve">02_Template_EN/02_ID_Identify/ID.RA_Risk-Assessment/ID-REG-005_IT-and-Cybersecurity-Risk-Register.docx</t>
  </si>
  <si>
    <t xml:space="preserve">Risk Treatment Plan</t>
  </si>
  <si>
    <t xml:space="preserve">แผนการจัดการความเสี่ยง</t>
  </si>
  <si>
    <t xml:space="preserve">ISO/IEC 27001:2022 Clause 6.1.3(e) and 8.3</t>
  </si>
  <si>
    <t xml:space="preserve">ID.RA-06</t>
  </si>
  <si>
    <t xml:space="preserve">6.1.3, 8.3</t>
  </si>
  <si>
    <t xml:space="preserve">PM-4, CA-5</t>
  </si>
  <si>
    <t xml:space="preserve">02_Template_EN/02_ID_Identify/ID.RA_Risk-Assessment/ID-PLN-001_Risk-Treatment-Plan.docx</t>
  </si>
  <si>
    <t xml:space="preserve">ID-RPT-003</t>
  </si>
  <si>
    <t xml:space="preserve">Cybersecurity Risk Assessment Report</t>
  </si>
  <si>
    <t xml:space="preserve">รายงานผลการประเมินความเสี่ยงด้านความมั่นคงปลอดภัยไซเบอร์</t>
  </si>
  <si>
    <t xml:space="preserve">CSA s.54 (annual risk assessment; summary to NCSA within 30 days); CRC Notification on CII duties 2024 [VERIFY]</t>
  </si>
  <si>
    <t xml:space="preserve">ID.RA-04, ID.RA-05</t>
  </si>
  <si>
    <t xml:space="preserve">8.2</t>
  </si>
  <si>
    <t xml:space="preserve">RA-3</t>
  </si>
  <si>
    <t xml:space="preserve">ACT-10 Risk Assessment Workshops; ACT-11 Current State Assessment and CSF Profile Gap Analysis</t>
  </si>
  <si>
    <t xml:space="preserve">02_Template_EN/02_ID_Identify/ID.RA_Risk-Assessment/ID-RPT-003_Cybersecurity-Risk-Assessment-Report.docx</t>
  </si>
  <si>
    <t xml:space="preserve">ID-STD-002</t>
  </si>
  <si>
    <t xml:space="preserve">Vulnerability Scanning and Remediation Standard</t>
  </si>
  <si>
    <t xml:space="preserve">มาตรฐานการสแกนและแก้ไขช่องโหว่</t>
  </si>
  <si>
    <t xml:space="preserve">ISO/IEC 27001:2022 Annex A 8.8; CIS Controls v8.1 Control 7</t>
  </si>
  <si>
    <t xml:space="preserve">ID.RA-01, PR.PS-02</t>
  </si>
  <si>
    <t xml:space="preserve">A.8.8</t>
  </si>
  <si>
    <t xml:space="preserve">RA-5, SI-2</t>
  </si>
  <si>
    <t xml:space="preserve">ID-PRC-002, ID-PRC-003, PR-PRC-007</t>
  </si>
  <si>
    <t xml:space="preserve">ACT-26 Vulnerability Scanning and Penetration Test Scoping</t>
  </si>
  <si>
    <t xml:space="preserve">02_Template_EN/02_ID_Identify/ID.RA_Risk-Assessment/ID-STD-002_Vulnerability-Scanning-and-Remediation-Standard.docx</t>
  </si>
  <si>
    <t xml:space="preserve">ID-PRC-002</t>
  </si>
  <si>
    <t xml:space="preserve">Vulnerability Management Procedure</t>
  </si>
  <si>
    <t xml:space="preserve">ระเบียบปฏิบัติการบริหารจัดการช่องโหว่</t>
  </si>
  <si>
    <t xml:space="preserve">ISO/IEC 27001:2022 Annex A 8.8</t>
  </si>
  <si>
    <t xml:space="preserve">ID.RA-01, ID.RA-08, PR.PS-02</t>
  </si>
  <si>
    <t xml:space="preserve">ID-REG-006, ID-PRC-005</t>
  </si>
  <si>
    <t xml:space="preserve">Security FTE / Managed Security Service Provider (MSSP)</t>
  </si>
  <si>
    <t xml:space="preserve">02_Template_EN/02_ID_Identify/ID.RA_Risk-Assessment/ID-PRC-002_Vulnerability-Management-Procedure.docx</t>
  </si>
  <si>
    <t xml:space="preserve">ID-REG-006</t>
  </si>
  <si>
    <t xml:space="preserve">Vulnerability Remediation Tracker</t>
  </si>
  <si>
    <t xml:space="preserve">ทะเบียนติดตามการแก้ไขช่องโหว่</t>
  </si>
  <si>
    <t xml:space="preserve">ID.RA-01, ID.RA-06</t>
  </si>
  <si>
    <t xml:space="preserve">RA-5, PM-4</t>
  </si>
  <si>
    <t xml:space="preserve">Continuous; report monthly</t>
  </si>
  <si>
    <t xml:space="preserve">02_Template_EN/02_ID_Identify/ID.RA_Risk-Assessment/ID-REG-006_Vulnerability-Remediation-Tracker.docx</t>
  </si>
  <si>
    <t xml:space="preserve">ID-PRC-003</t>
  </si>
  <si>
    <t xml:space="preserve">Penetration Testing Procedure</t>
  </si>
  <si>
    <t xml:space="preserve">ระเบียบปฏิบัติการทดสอบเจาะระบบ</t>
  </si>
  <si>
    <t xml:space="preserve">ISO/IEC 27001:2022 Annex A 8.8 and 8.29; CIS Controls v8.1 Control 18</t>
  </si>
  <si>
    <t xml:space="preserve">ID.RA-01, ID.IM-02</t>
  </si>
  <si>
    <t xml:space="preserve">A.8.8, A.8.29</t>
  </si>
  <si>
    <t xml:space="preserve">CA-8</t>
  </si>
  <si>
    <t xml:space="preserve">ID-FRM-002</t>
  </si>
  <si>
    <t xml:space="preserve">02_Template_EN/02_ID_Identify/ID.RA_Risk-Assessment/ID-PRC-003_Penetration-Testing-Procedure.docx</t>
  </si>
  <si>
    <t xml:space="preserve">Penetration Test Authorization and Rules of Engagement</t>
  </si>
  <si>
    <t xml:space="preserve">แบบอนุมัติและกติกาการทดสอบเจาะระบบ</t>
  </si>
  <si>
    <t xml:space="preserve">Computer Crime Act B.E. 2550 s.5 and s.7 (written authorization separates testing from unauthorized access)</t>
  </si>
  <si>
    <t xml:space="preserve">ID.RA-01</t>
  </si>
  <si>
    <t xml:space="preserve">A.8.29</t>
  </si>
  <si>
    <t xml:space="preserve">Process, Evidence, Legal and Regulatory</t>
  </si>
  <si>
    <t xml:space="preserve">02_Template_EN/02_ID_Identify/ID.RA_Risk-Assessment/ID-FRM-002_Penetration-Test-Authorization-and-Rules-of-Engagement.docx</t>
  </si>
  <si>
    <t xml:space="preserve">ID-PRC-004</t>
  </si>
  <si>
    <t xml:space="preserve">Threat Intelligence Procedure</t>
  </si>
  <si>
    <t xml:space="preserve">ระเบียบปฏิบัติการบริหารข้อมูลข่าวกรองภัยคุกคาม</t>
  </si>
  <si>
    <t xml:space="preserve">ISO/IEC 27001:2022 Annex A 5.7</t>
  </si>
  <si>
    <t xml:space="preserve">ID.RA-02, ID.RA-03</t>
  </si>
  <si>
    <t xml:space="preserve">A.5.7, A.5.6</t>
  </si>
  <si>
    <t xml:space="preserve">PM-16, RA-10</t>
  </si>
  <si>
    <t xml:space="preserve">Managed Security Service Provider (MSSP) / Security FTE</t>
  </si>
  <si>
    <t xml:space="preserve">02_Template_EN/02_ID_Identify/ID.RA_Risk-Assessment/ID-PRC-004_Threat-Intelligence-Procedure.docx</t>
  </si>
  <si>
    <t xml:space="preserve">ID-PRC-005</t>
  </si>
  <si>
    <t xml:space="preserve">Vulnerability Disclosure Handling Procedure</t>
  </si>
  <si>
    <t xml:space="preserve">ระเบียบปฏิบัติการรับแจ้งช่องโหว่จากภายนอก</t>
  </si>
  <si>
    <t xml:space="preserve">ISO/IEC 29147 and ISO/IEC 30111</t>
  </si>
  <si>
    <t xml:space="preserve">ID.RA-08</t>
  </si>
  <si>
    <t xml:space="preserve">RA-5(11)</t>
  </si>
  <si>
    <t xml:space="preserve">02_Template_EN/02_ID_Identify/ID.RA_Risk-Assessment/ID-PRC-005_Vulnerability-Disclosure-Handling-Procedure.docx</t>
  </si>
  <si>
    <t xml:space="preserve">ID-PRC-006</t>
  </si>
  <si>
    <t xml:space="preserve">Continual Improvement and Corrective Action Procedure</t>
  </si>
  <si>
    <t xml:space="preserve">ระเบียบปฏิบัติการปรับปรุงอย่างต่อเนื่องและการแก้ไขข้อบกพร่อง</t>
  </si>
  <si>
    <t xml:space="preserve">Improvement (ID.IM)</t>
  </si>
  <si>
    <t xml:space="preserve">ISO/IEC 27001:2022 Clause 10.1 and 10.2</t>
  </si>
  <si>
    <t xml:space="preserve">ID.IM-01, ID.IM-02, ID.IM-03, ID.IM-04</t>
  </si>
  <si>
    <t xml:space="preserve">10.1, 10.2</t>
  </si>
  <si>
    <t xml:space="preserve">ID-REG-007, ID-PLN-002, ID-TPL-001</t>
  </si>
  <si>
    <t xml:space="preserve">02_Template_EN/02_ID_Identify/ID.IM_Improvement/ID-PRC-006_Continual-Improvement-and-Corrective-Action-Procedure.docx</t>
  </si>
  <si>
    <t xml:space="preserve">ID-REG-007</t>
  </si>
  <si>
    <t xml:space="preserve">Corrective Action and Improvement Register</t>
  </si>
  <si>
    <t xml:space="preserve">ทะเบียนการแก้ไขข้อบกพร่องและการปรับปรุง</t>
  </si>
  <si>
    <t xml:space="preserve">ISO/IEC 27001:2022 Clause 10.2 (nature of nonconformities and results of corrective action)</t>
  </si>
  <si>
    <t xml:space="preserve">10.2</t>
  </si>
  <si>
    <t xml:space="preserve">Continuous; review monthly</t>
  </si>
  <si>
    <t xml:space="preserve">02_Template_EN/02_ID_Identify/ID.IM_Improvement/ID-REG-007_Corrective-Action-and-Improvement-Register.docx</t>
  </si>
  <si>
    <t xml:space="preserve">ID-PLN-002</t>
  </si>
  <si>
    <t xml:space="preserve">Cybersecurity Exercise and Testing Program</t>
  </si>
  <si>
    <t xml:space="preserve">แผนการฝึกซ้อมและทดสอบด้านความมั่นคงปลอดภัยไซเบอร์</t>
  </si>
  <si>
    <t xml:space="preserve">CSA s.56 (readiness tests); CRC Notification on CII duties 2024 (annual BCP exercise) [VERIFY]</t>
  </si>
  <si>
    <t xml:space="preserve">ID.IM-02, ID.IM-04</t>
  </si>
  <si>
    <t xml:space="preserve">A.5.24, A.5.30</t>
  </si>
  <si>
    <t xml:space="preserve">CP-4, IR-3</t>
  </si>
  <si>
    <t xml:space="preserve">RC-REC-001</t>
  </si>
  <si>
    <t xml:space="preserve">Process, Legal and Regulatory, Resilience</t>
  </si>
  <si>
    <t xml:space="preserve">ACT-20 Tabletop Exercise; ACT-21 Business Continuity and Disaster Recovery Exercise</t>
  </si>
  <si>
    <t xml:space="preserve">RS-PLN-001, RC-PLN-001</t>
  </si>
  <si>
    <t xml:space="preserve">02_Template_EN/02_ID_Identify/ID.IM_Improvement/ID-PLN-002_Cybersecurity-Exercise-and-Testing-Program.docx</t>
  </si>
  <si>
    <t xml:space="preserve">ID-TPL-001</t>
  </si>
  <si>
    <t xml:space="preserve">Lessons Learned Report Template</t>
  </si>
  <si>
    <t xml:space="preserve">แม่แบบรายงานบทเรียนที่ได้รับ</t>
  </si>
  <si>
    <t xml:space="preserve">ISO/IEC 27001:2022 Annex A 5.27</t>
  </si>
  <si>
    <t xml:space="preserve">ID.IM-03, ID.IM-04</t>
  </si>
  <si>
    <t xml:space="preserve">A.5.27</t>
  </si>
  <si>
    <t xml:space="preserve">IR-4, IR-8</t>
  </si>
  <si>
    <t xml:space="preserve">ACT-29 Post-Incident and Lessons Learned Review</t>
  </si>
  <si>
    <t xml:space="preserve">02_Template_EN/02_ID_Identify/ID.IM_Improvement/ID-TPL-001_Lessons-Learned-Report-Template.docx</t>
  </si>
  <si>
    <t xml:space="preserve">PR-POL-001</t>
  </si>
  <si>
    <t xml:space="preserve">Access Control Policy</t>
  </si>
  <si>
    <t xml:space="preserve">นโยบายการควบคุมการเข้าถึง</t>
  </si>
  <si>
    <t xml:space="preserve">Protect (PR)</t>
  </si>
  <si>
    <t xml:space="preserve">Identity Management, Authentication, and Access Control (PR.AA)</t>
  </si>
  <si>
    <t xml:space="preserve">ISO/IEC 27001:2022 Annex A 5.15; PDPC Notification on Security Measures B.E. 2565 (access control and audit trail)</t>
  </si>
  <si>
    <t xml:space="preserve">PR.AA-01, PR.AA-02, PR.AA-03, PR.AA-04, PR.AA-05</t>
  </si>
  <si>
    <t xml:space="preserve">A.5.15, A.5.18, A.8.3</t>
  </si>
  <si>
    <t xml:space="preserve">AC-1, IA-1</t>
  </si>
  <si>
    <t xml:space="preserve">PR-STD-001, PR-STD-002, PR-STD-003, PR-PRC-001, PR-PRC-002</t>
  </si>
  <si>
    <t xml:space="preserve">Technology, Legal and Regulatory, Privacy</t>
  </si>
  <si>
    <t xml:space="preserve">02_Template_EN/03_PR_Protect/PR.AA_Identity-Management-Authentication-and-Access-Control/PR-POL-001_Access-Control-Policy.docx</t>
  </si>
  <si>
    <t xml:space="preserve">PR-STD-001</t>
  </si>
  <si>
    <t xml:space="preserve">Identity and Authentication Standard</t>
  </si>
  <si>
    <t xml:space="preserve">มาตรฐานการบริหารตัวตนและการยืนยันตัวตน</t>
  </si>
  <si>
    <t xml:space="preserve">ISO/IEC 27001:2022 Annex A 5.16, 5.17, and 8.5; NIST SP 800-63B-4</t>
  </si>
  <si>
    <t xml:space="preserve">PR.AA-01, PR.AA-02, PR.AA-03, PR.AA-04</t>
  </si>
  <si>
    <t xml:space="preserve">A.5.16, A.5.17, A.8.5</t>
  </si>
  <si>
    <t xml:space="preserve">IA-2, IA-5, IA-8</t>
  </si>
  <si>
    <t xml:space="preserve">Track B</t>
  </si>
  <si>
    <t xml:space="preserve">ACT-19 Identity and Privileged Access Review</t>
  </si>
  <si>
    <t xml:space="preserve">02_Template_EN/03_PR_Protect/PR.AA_Identity-Management-Authentication-and-Access-Control/PR-STD-001_Identity-and-Authentication-Standard.docx</t>
  </si>
  <si>
    <t xml:space="preserve">PR-STD-002</t>
  </si>
  <si>
    <t xml:space="preserve">Privileged Access Management Standard</t>
  </si>
  <si>
    <t xml:space="preserve">มาตรฐานการบริหารจัดการสิทธิ์ระดับสูง</t>
  </si>
  <si>
    <t xml:space="preserve">ISO/IEC 27001:2022 Annex A 8.2 and 8.18</t>
  </si>
  <si>
    <t xml:space="preserve">PR.AA-05, PR.AA-01</t>
  </si>
  <si>
    <t xml:space="preserve">A.8.2, A.8.18</t>
  </si>
  <si>
    <t xml:space="preserve">AC-6, AC-2</t>
  </si>
  <si>
    <t xml:space="preserve">PR-FRM-002, PR-REG-001</t>
  </si>
  <si>
    <t xml:space="preserve">02_Template_EN/03_PR_Protect/PR.AA_Identity-Management-Authentication-and-Access-Control/PR-STD-002_Privileged-Access-Management-Standard.docx</t>
  </si>
  <si>
    <t xml:space="preserve">PR-STD-003</t>
  </si>
  <si>
    <t xml:space="preserve">Remote Access Standard</t>
  </si>
  <si>
    <t xml:space="preserve">มาตรฐานการเข้าถึงระยะไกล</t>
  </si>
  <si>
    <t xml:space="preserve">ISO/IEC 27001:2022 Annex A 6.7 and 8.20</t>
  </si>
  <si>
    <t xml:space="preserve">PR.AA-03, PR.AA-05, PR.IR-01</t>
  </si>
  <si>
    <t xml:space="preserve">A.6.7, A.8.20</t>
  </si>
  <si>
    <t xml:space="preserve">AC-17</t>
  </si>
  <si>
    <t xml:space="preserve">PR-FRM-003</t>
  </si>
  <si>
    <t xml:space="preserve">02_Template_EN/03_PR_Protect/PR.AA_Identity-Management-Authentication-and-Access-Control/PR-STD-003_Remote-Access-Standard.docx</t>
  </si>
  <si>
    <t xml:space="preserve">PR-PRC-001</t>
  </si>
  <si>
    <t xml:space="preserve">User Access Management Procedure</t>
  </si>
  <si>
    <t xml:space="preserve">ระเบียบปฏิบัติการบริหารจัดการสิทธิ์ผู้ใช้งาน</t>
  </si>
  <si>
    <t xml:space="preserve">ISO/IEC 27001:2022 Annex A 5.16 and 5.18; PDPC Notification on Security Measures B.E. 2565</t>
  </si>
  <si>
    <t xml:space="preserve">PR.AA-01, PR.AA-05</t>
  </si>
  <si>
    <t xml:space="preserve">A.5.16, A.5.18</t>
  </si>
  <si>
    <t xml:space="preserve">AC-2</t>
  </si>
  <si>
    <t xml:space="preserve">PR-FRM-001</t>
  </si>
  <si>
    <t xml:space="preserve">02_Template_EN/03_PR_Protect/PR.AA_Identity-Management-Authentication-and-Access-Control/PR-PRC-001_User-Access-Management-Procedure.docx</t>
  </si>
  <si>
    <t xml:space="preserve">PR-PRC-002</t>
  </si>
  <si>
    <t xml:space="preserve">User Access Review Procedure</t>
  </si>
  <si>
    <t xml:space="preserve">ระเบียบปฏิบัติการทบทวนสิทธิ์ผู้ใช้งาน</t>
  </si>
  <si>
    <t xml:space="preserve">ISO/IEC 27001:2022 Annex A 5.18</t>
  </si>
  <si>
    <t xml:space="preserve">PR.AA-05</t>
  </si>
  <si>
    <t xml:space="preserve">A.5.18</t>
  </si>
  <si>
    <t xml:space="preserve">PR-REC-001</t>
  </si>
  <si>
    <t xml:space="preserve">02_Template_EN/03_PR_Protect/PR.AA_Identity-Management-Authentication-and-Access-Control/PR-PRC-002_User-Access-Review-Procedure.docx</t>
  </si>
  <si>
    <t xml:space="preserve">User Access Request Form</t>
  </si>
  <si>
    <t xml:space="preserve">แบบฟอร์มขอสิทธิ์เข้าใช้งานระบบ</t>
  </si>
  <si>
    <t xml:space="preserve">02_Template_EN/03_PR_Protect/PR.AA_Identity-Management-Authentication-and-Access-Control/PR-FRM-001_User-Access-Request-Form.docx</t>
  </si>
  <si>
    <t xml:space="preserve">PR-FRM-002</t>
  </si>
  <si>
    <t xml:space="preserve">Privileged Access Request Form</t>
  </si>
  <si>
    <t xml:space="preserve">แบบฟอร์มขอสิทธิ์ระดับสูง</t>
  </si>
  <si>
    <t xml:space="preserve">ISO/IEC 27001:2022 Annex A 8.2</t>
  </si>
  <si>
    <t xml:space="preserve">A.8.2</t>
  </si>
  <si>
    <t xml:space="preserve">02_Template_EN/03_PR_Protect/PR.AA_Identity-Management-Authentication-and-Access-Control/PR-FRM-002_Privileged-Access-Request-Form.docx</t>
  </si>
  <si>
    <t xml:space="preserve">Third-Party Remote Access Request Form</t>
  </si>
  <si>
    <t xml:space="preserve">แบบฟอร์มขอเข้าถึงระยะไกลสำหรับบุคคลภายนอก</t>
  </si>
  <si>
    <t xml:space="preserve">ISO/IEC 27001:2022 Annex A 5.19 and 8.20</t>
  </si>
  <si>
    <t xml:space="preserve">PR.AA-05, GV.SC-07</t>
  </si>
  <si>
    <t xml:space="preserve">A.5.19, A.8.20</t>
  </si>
  <si>
    <t xml:space="preserve">AC-17, MA-4</t>
  </si>
  <si>
    <t xml:space="preserve">Process, Evidence, Third Party</t>
  </si>
  <si>
    <t xml:space="preserve">02_Template_EN/03_PR_Protect/PR.AA_Identity-Management-Authentication-and-Access-Control/PR-FRM-003_Third-Party-Remote-Access-Request-Form.docx</t>
  </si>
  <si>
    <t xml:space="preserve">User Access Review Record</t>
  </si>
  <si>
    <t xml:space="preserve">บันทึกผลการทบทวนสิทธิ์ผู้ใช้งาน</t>
  </si>
  <si>
    <t xml:space="preserve">System Owner</t>
  </si>
  <si>
    <t xml:space="preserve">Each review cycle</t>
  </si>
  <si>
    <t xml:space="preserve">02_Template_EN/03_PR_Protect/PR.AA_Identity-Management-Authentication-and-Access-Control/PR-REC-001_User-Access-Review-Record.docx</t>
  </si>
  <si>
    <t xml:space="preserve">PR-REG-001</t>
  </si>
  <si>
    <t xml:space="preserve">Privileged Account Register</t>
  </si>
  <si>
    <t xml:space="preserve">ทะเบียนบัญชีสิทธิ์ระดับสูง</t>
  </si>
  <si>
    <t xml:space="preserve">AC-2, AC-6</t>
  </si>
  <si>
    <t xml:space="preserve">02_Template_EN/03_PR_Protect/PR.AA_Identity-Management-Authentication-and-Access-Control/PR-REG-001_Privileged-Account-Register.docx</t>
  </si>
  <si>
    <t xml:space="preserve">PR-POL-002</t>
  </si>
  <si>
    <t xml:space="preserve">Physical and Environmental Security Policy</t>
  </si>
  <si>
    <t xml:space="preserve">นโยบายความมั่นคงปลอดภัยทางกายภาพและสภาพแวดล้อม</t>
  </si>
  <si>
    <t xml:space="preserve">ISO/IEC 27001:2022 Annex A 7.1 to 7.14</t>
  </si>
  <si>
    <t xml:space="preserve">PR.AA-06, PR.IR-02, DE.CM-02</t>
  </si>
  <si>
    <t xml:space="preserve">A.7.1, A.7.2, A.7.4, A.7.5, A.7.11</t>
  </si>
  <si>
    <t xml:space="preserve">PE-1</t>
  </si>
  <si>
    <t xml:space="preserve">PR-PRC-003</t>
  </si>
  <si>
    <t xml:space="preserve">02_Template_EN/03_PR_Protect/PR.AA_Identity-Management-Authentication-and-Access-Control/PR-POL-002_Physical-and-Environmental-Security-Policy.docx</t>
  </si>
  <si>
    <t xml:space="preserve">Physical Access Management Procedure</t>
  </si>
  <si>
    <t xml:space="preserve">ระเบียบปฏิบัติการควบคุมการเข้าถึงพื้นที่</t>
  </si>
  <si>
    <t xml:space="preserve">ISO/IEC 27001:2022 Annex A 7.2 and 7.6</t>
  </si>
  <si>
    <t xml:space="preserve">PR.AA-06, DE.CM-02</t>
  </si>
  <si>
    <t xml:space="preserve">A.7.2, A.7.6</t>
  </si>
  <si>
    <t xml:space="preserve">PE-2, PE-3, PE-6</t>
  </si>
  <si>
    <t xml:space="preserve">PR-FRM-004</t>
  </si>
  <si>
    <t xml:space="preserve">02_Template_EN/03_PR_Protect/PR.AA_Identity-Management-Authentication-and-Access-Control/PR-PRC-003_Physical-Access-Management-Procedure.docx</t>
  </si>
  <si>
    <t xml:space="preserve">Secure Area Access and Visitor Log</t>
  </si>
  <si>
    <t xml:space="preserve">แบบบันทึกการเข้าพื้นที่ควบคุมและผู้มาติดต่อ</t>
  </si>
  <si>
    <t xml:space="preserve">ISO/IEC 27001:2022 Annex A 7.2</t>
  </si>
  <si>
    <t xml:space="preserve">PR.AA-06</t>
  </si>
  <si>
    <t xml:space="preserve">A.7.2</t>
  </si>
  <si>
    <t xml:space="preserve">PE-8</t>
  </si>
  <si>
    <t xml:space="preserve">Physical, Evidence</t>
  </si>
  <si>
    <t xml:space="preserve">02_Template_EN/03_PR_Protect/PR.AA_Identity-Management-Authentication-and-Access-Control/PR-FRM-004_Secure-Area-Access-and-Visitor-Log.docx</t>
  </si>
  <si>
    <t xml:space="preserve">PR-PLN-001</t>
  </si>
  <si>
    <t xml:space="preserve">Security Awareness and Training Program</t>
  </si>
  <si>
    <t xml:space="preserve">แผนการสร้างความตระหนักรู้และการฝึกอบรมด้านความมั่นคงปลอดภัย</t>
  </si>
  <si>
    <t xml:space="preserve">Awareness and Training (PR.AT)</t>
  </si>
  <si>
    <t xml:space="preserve">ISO/IEC 27001:2022 Clause 7.3 and Annex A 6.3; PDPC Notification on Security Measures B.E. 2565 (awareness)</t>
  </si>
  <si>
    <t xml:space="preserve">PR.AT-01, PR.AT-02</t>
  </si>
  <si>
    <t xml:space="preserve">7.3, A.6.3</t>
  </si>
  <si>
    <t xml:space="preserve">AT-1, AT-2, AT-3</t>
  </si>
  <si>
    <t xml:space="preserve">PR-REG-002, PR-REC-002, PR-PRC-004</t>
  </si>
  <si>
    <t xml:space="preserve">People, Legal and Regulatory, Privacy</t>
  </si>
  <si>
    <t xml:space="preserve">ACT-23 Training Needs Analysis and Awareness Planning</t>
  </si>
  <si>
    <t xml:space="preserve">02_Template_EN/03_PR_Protect/PR.AT_Awareness-and-Training/PR-PLN-001_Security-Awareness-and-Training-Program.docx</t>
  </si>
  <si>
    <t xml:space="preserve">PR-REG-002</t>
  </si>
  <si>
    <t xml:space="preserve">Role-Based Training and Skills Matrix</t>
  </si>
  <si>
    <t xml:space="preserve">ตารางทักษะและการฝึกอบรมตามบทบาท</t>
  </si>
  <si>
    <t xml:space="preserve">ISO/IEC 27001:2022 Clause 7.2 (documented evidence of competence)</t>
  </si>
  <si>
    <t xml:space="preserve">PR.AT-02, GV.RR-04</t>
  </si>
  <si>
    <t xml:space="preserve">7.2</t>
  </si>
  <si>
    <t xml:space="preserve">AT-3, PM-13</t>
  </si>
  <si>
    <t xml:space="preserve">02_Template_EN/03_PR_Protect/PR.AT_Awareness-and-Training/PR-REG-002_Role-Based-Training-and-Skills-Matrix.docx</t>
  </si>
  <si>
    <t xml:space="preserve">PR-REC-002</t>
  </si>
  <si>
    <t xml:space="preserve">Training Completion Record</t>
  </si>
  <si>
    <t xml:space="preserve">บันทึกการเข้ารับการฝึกอบรม</t>
  </si>
  <si>
    <t xml:space="preserve">7.2, A.6.3</t>
  </si>
  <si>
    <t xml:space="preserve">AT-4</t>
  </si>
  <si>
    <t xml:space="preserve">Continuous</t>
  </si>
  <si>
    <t xml:space="preserve">02_Template_EN/03_PR_Protect/PR.AT_Awareness-and-Training/PR-REC-002_Training-Completion-Record.docx</t>
  </si>
  <si>
    <t xml:space="preserve">PR-PRC-004</t>
  </si>
  <si>
    <t xml:space="preserve">Phishing Simulation Procedure</t>
  </si>
  <si>
    <t xml:space="preserve">ระเบียบปฏิบัติการทดสอบฟิชชิ่งจำลอง</t>
  </si>
  <si>
    <t xml:space="preserve">NIST SP 800-50 Rev. 1</t>
  </si>
  <si>
    <t xml:space="preserve">PR.AT-01</t>
  </si>
  <si>
    <t xml:space="preserve">A.6.3</t>
  </si>
  <si>
    <t xml:space="preserve">AT-2(1)</t>
  </si>
  <si>
    <t xml:space="preserve">In-house IT / Managed Security Service Provider (MSSP)</t>
  </si>
  <si>
    <t xml:space="preserve">02_Template_EN/03_PR_Protect/PR.AT_Awareness-and-Training/PR-PRC-004_Phishing-Simulation-Procedure.docx</t>
  </si>
  <si>
    <t xml:space="preserve">PR-POL-003</t>
  </si>
  <si>
    <t xml:space="preserve">Data Protection and Classification Policy</t>
  </si>
  <si>
    <t xml:space="preserve">นโยบายการจัดชั้นและการปกป้องข้อมูล</t>
  </si>
  <si>
    <t xml:space="preserve">Data Security (PR.DS)</t>
  </si>
  <si>
    <t xml:space="preserve">ISO/IEC 27001:2022 Annex A 5.12 and 5.13; PDPA s.37(1)</t>
  </si>
  <si>
    <t xml:space="preserve">PR.DS-01, PR.DS-02, PR.DS-10</t>
  </si>
  <si>
    <t xml:space="preserve">A.5.12, A.5.13, A.5.14</t>
  </si>
  <si>
    <t xml:space="preserve">RA-2, MP-1, SC-1</t>
  </si>
  <si>
    <t xml:space="preserve">PR-STD-004, PR-STD-005, PR-STD-006, PR-STD-007, PR-STD-008</t>
  </si>
  <si>
    <t xml:space="preserve">Security FTE / DPO or privacy counsel service</t>
  </si>
  <si>
    <t xml:space="preserve">GV-POL-001, ID-REG-003</t>
  </si>
  <si>
    <t xml:space="preserve">02_Template_EN/03_PR_Protect/PR.DS_Data-Security/PR-POL-003_Data-Protection-and-Classification-Policy.docx</t>
  </si>
  <si>
    <t xml:space="preserve">PR-STD-004</t>
  </si>
  <si>
    <t xml:space="preserve">Information Classification and Handling Standard</t>
  </si>
  <si>
    <t xml:space="preserve">มาตรฐานการจัดชั้นความลับและการจัดการข้อมูล</t>
  </si>
  <si>
    <t xml:space="preserve">ISO/IEC 27001:2022 Annex A 5.12, 5.13, and 5.14</t>
  </si>
  <si>
    <t xml:space="preserve">RA-2, MP-3, MP-4</t>
  </si>
  <si>
    <t xml:space="preserve">02_Template_EN/03_PR_Protect/PR.DS_Data-Security/PR-STD-004_Information-Classification-and-Handling-Standard.docx</t>
  </si>
  <si>
    <t xml:space="preserve">PR-STD-005</t>
  </si>
  <si>
    <t xml:space="preserve">Cryptography and Key Management Standard</t>
  </si>
  <si>
    <t xml:space="preserve">มาตรฐานการเข้ารหัสและการบริหารจัดการกุญแจ</t>
  </si>
  <si>
    <t xml:space="preserve">ISO/IEC 27001:2022 Annex A 8.24</t>
  </si>
  <si>
    <t xml:space="preserve">PR.DS-01, PR.DS-02</t>
  </si>
  <si>
    <t xml:space="preserve">A.8.24</t>
  </si>
  <si>
    <t xml:space="preserve">SC-8, SC-12, SC-13, SC-28</t>
  </si>
  <si>
    <t xml:space="preserve">02_Template_EN/03_PR_Protect/PR.DS_Data-Security/PR-STD-005_Cryptography-and-Key-Management-Standard.docx</t>
  </si>
  <si>
    <t xml:space="preserve">PR-STD-006</t>
  </si>
  <si>
    <t xml:space="preserve">Backup Standard</t>
  </si>
  <si>
    <t xml:space="preserve">มาตรฐานการสำรองข้อมูล</t>
  </si>
  <si>
    <t xml:space="preserve">ISO/IEC 27001:2022 Annex A 8.13; CIS Controls v8.1 Control 11</t>
  </si>
  <si>
    <t xml:space="preserve">PR.DS-11</t>
  </si>
  <si>
    <t xml:space="preserve">A.8.13</t>
  </si>
  <si>
    <t xml:space="preserve">CP-9</t>
  </si>
  <si>
    <t xml:space="preserve">PR-PRC-005</t>
  </si>
  <si>
    <t xml:space="preserve">Technology, Resilience</t>
  </si>
  <si>
    <t xml:space="preserve">ACT-18 Backup and Restore Validation Test</t>
  </si>
  <si>
    <t xml:space="preserve">02_Template_EN/03_PR_Protect/PR.DS_Data-Security/PR-STD-006_Backup-Standard.docx</t>
  </si>
  <si>
    <t xml:space="preserve">Backup and Restore Procedure</t>
  </si>
  <si>
    <t xml:space="preserve">ระเบียบปฏิบัติการสำรองและกู้คืนข้อมูล</t>
  </si>
  <si>
    <t xml:space="preserve">ISO/IEC 27001:2022 Annex A 8.13</t>
  </si>
  <si>
    <t xml:space="preserve">PR.DS-11, RC.RP-03</t>
  </si>
  <si>
    <t xml:space="preserve">CP-9, CP-10</t>
  </si>
  <si>
    <t xml:space="preserve">PR-REC-003</t>
  </si>
  <si>
    <t xml:space="preserve">02_Template_EN/03_PR_Protect/PR.DS_Data-Security/PR-PRC-005_Backup-and-Restore-Procedure.docx</t>
  </si>
  <si>
    <t xml:space="preserve">Backup and Restore Test Record</t>
  </si>
  <si>
    <t xml:space="preserve">บันทึกผลการทดสอบการกู้คืนข้อมูล</t>
  </si>
  <si>
    <t xml:space="preserve">CP-9(1)</t>
  </si>
  <si>
    <t xml:space="preserve">Each test</t>
  </si>
  <si>
    <t xml:space="preserve">Technology, Evidence, Resilience</t>
  </si>
  <si>
    <t xml:space="preserve">02_Template_EN/03_PR_Protect/PR.DS_Data-Security/PR-REC-003_Backup-and-Restore-Test-Record.docx</t>
  </si>
  <si>
    <t xml:space="preserve">PR-STD-007</t>
  </si>
  <si>
    <t xml:space="preserve">Data Retention and Disposal Standard</t>
  </si>
  <si>
    <t xml:space="preserve">มาตรฐานการเก็บรักษาและการทำลายข้อมูล</t>
  </si>
  <si>
    <t xml:space="preserve">PDPA s.37(3); ISO/IEC 27001:2022 Annex A 5.33 and 8.10</t>
  </si>
  <si>
    <t xml:space="preserve">PR.DS-01, ID.AM-08</t>
  </si>
  <si>
    <t xml:space="preserve">A.5.33, A.8.10</t>
  </si>
  <si>
    <t xml:space="preserve">SI-12, MP-6</t>
  </si>
  <si>
    <t xml:space="preserve">02_Template_EN/03_PR_Protect/PR.DS_Data-Security/PR-STD-007_Data-Retention-and-Disposal-Standard.docx</t>
  </si>
  <si>
    <t xml:space="preserve">PR-STD-008</t>
  </si>
  <si>
    <t xml:space="preserve">Data Loss Prevention Standard</t>
  </si>
  <si>
    <t xml:space="preserve">มาตรฐานการป้องกันข้อมูลรั่วไหล</t>
  </si>
  <si>
    <t xml:space="preserve">ISO/IEC 27001:2022 Annex A 8.12</t>
  </si>
  <si>
    <t xml:space="preserve">A.8.12</t>
  </si>
  <si>
    <t xml:space="preserve">AC-4, SI-4</t>
  </si>
  <si>
    <t xml:space="preserve">02_Template_EN/03_PR_Protect/PR.DS_Data-Security/PR-STD-008_Data-Loss-Prevention-Standard.docx</t>
  </si>
  <si>
    <t xml:space="preserve">PR-STD-009</t>
  </si>
  <si>
    <t xml:space="preserve">Mobile Device and BYOD Standard</t>
  </si>
  <si>
    <t xml:space="preserve">มาตรฐานอุปกรณ์เคลื่อนที่และอุปกรณ์ส่วนตัว (BYOD)</t>
  </si>
  <si>
    <t xml:space="preserve">ISO/IEC 27001:2022 Annex A 8.1 and 6.7</t>
  </si>
  <si>
    <t xml:space="preserve">PR.DS-01, PR.AA-03, PR.PS-01</t>
  </si>
  <si>
    <t xml:space="preserve">A.8.1, A.6.7</t>
  </si>
  <si>
    <t xml:space="preserve">AC-19</t>
  </si>
  <si>
    <t xml:space="preserve">Technology, People</t>
  </si>
  <si>
    <t xml:space="preserve">02_Template_EN/03_PR_Protect/PR.DS_Data-Security/PR-STD-009_Mobile-Device-and-BYOD-Standard.docx</t>
  </si>
  <si>
    <t xml:space="preserve">PR-STD-010</t>
  </si>
  <si>
    <t xml:space="preserve">Secure Configuration Baseline Standard</t>
  </si>
  <si>
    <t xml:space="preserve">มาตรฐานการตั้งค่าระบบอย่างมั่นคงปลอดภัย</t>
  </si>
  <si>
    <t xml:space="preserve">Platform Security (PR.PS)</t>
  </si>
  <si>
    <t xml:space="preserve">ISO/IEC 27001:2022 Annex A 8.9; CIS Controls v8.1 Control 4; CIS Benchmarks</t>
  </si>
  <si>
    <t xml:space="preserve">PR.PS-01</t>
  </si>
  <si>
    <t xml:space="preserve">A.8.9</t>
  </si>
  <si>
    <t xml:space="preserve">CM-2, CM-6, CM-7</t>
  </si>
  <si>
    <t xml:space="preserve">ACT-15 Technical Baseline Review</t>
  </si>
  <si>
    <t xml:space="preserve">02_Template_EN/03_PR_Protect/PR.PS_Platform-Security/PR-STD-010_Secure-Configuration-Baseline-Standard.docx</t>
  </si>
  <si>
    <t xml:space="preserve">PR-PRC-006</t>
  </si>
  <si>
    <t xml:space="preserve">Change Management Procedure</t>
  </si>
  <si>
    <t xml:space="preserve">ระเบียบปฏิบัติการบริหารการเปลี่ยนแปลง</t>
  </si>
  <si>
    <t xml:space="preserve">ISO/IEC 27001:2022 Annex A 8.32</t>
  </si>
  <si>
    <t xml:space="preserve">PR.PS-01, ID.RA-07</t>
  </si>
  <si>
    <t xml:space="preserve">A.8.32</t>
  </si>
  <si>
    <t xml:space="preserve">CM-3, CM-4</t>
  </si>
  <si>
    <t xml:space="preserve">PR-FRM-005</t>
  </si>
  <si>
    <t xml:space="preserve">ACT-28 Change Advisory Board (CAB) Setup</t>
  </si>
  <si>
    <t xml:space="preserve">02_Template_EN/03_PR_Protect/PR.PS_Platform-Security/PR-PRC-006_Change-Management-Procedure.docx</t>
  </si>
  <si>
    <t xml:space="preserve">Change Request Form</t>
  </si>
  <si>
    <t xml:space="preserve">แบบฟอร์มขอเปลี่ยนแปลงระบบ</t>
  </si>
  <si>
    <t xml:space="preserve">CM-3</t>
  </si>
  <si>
    <t xml:space="preserve">02_Template_EN/03_PR_Protect/PR.PS_Platform-Security/PR-FRM-005_Change-Request-Form.docx</t>
  </si>
  <si>
    <t xml:space="preserve">PR-PRC-007</t>
  </si>
  <si>
    <t xml:space="preserve">Patch Management Procedure</t>
  </si>
  <si>
    <t xml:space="preserve">ระเบียบปฏิบัติการบริหารจัดการแพตช์</t>
  </si>
  <si>
    <t xml:space="preserve">ISO/IEC 27001:2022 Annex A 8.8 and 8.19</t>
  </si>
  <si>
    <t xml:space="preserve">PR.PS-02, PR.PS-03, ID.RA-01</t>
  </si>
  <si>
    <t xml:space="preserve">A.8.8, A.8.19</t>
  </si>
  <si>
    <t xml:space="preserve">SI-2</t>
  </si>
  <si>
    <t xml:space="preserve">02_Template_EN/03_PR_Protect/PR.PS_Platform-Security/PR-PRC-007_Patch-Management-Procedure.docx</t>
  </si>
  <si>
    <t xml:space="preserve">PR-STD-011</t>
  </si>
  <si>
    <t xml:space="preserve">Logging Standard</t>
  </si>
  <si>
    <t xml:space="preserve">มาตรฐานการบันทึกข้อมูลจราจรทางคอมพิวเตอร์และเหตุการณ์ (Logging)</t>
  </si>
  <si>
    <t xml:space="preserve">CCA</t>
  </si>
  <si>
    <t xml:space="preserve">Computer Crime Act B.E. 2550 s.26 (service providers retain computer traffic data for at least 90 days; the Act sets the duty, not the document); ISO/IEC 27001:2022 Annex A 8.15 and 8.17</t>
  </si>
  <si>
    <t xml:space="preserve">PR.PS-04, DE.CM-01, DE.CM-03, DE.CM-09</t>
  </si>
  <si>
    <t xml:space="preserve">A.8.15, A.8.17</t>
  </si>
  <si>
    <t xml:space="preserve">AU-2, AU-3, AU-8, AU-9, AU-11</t>
  </si>
  <si>
    <t xml:space="preserve">Technology, Legal and Regulatory</t>
  </si>
  <si>
    <t xml:space="preserve">ACT-22 Security Monitoring Design Session</t>
  </si>
  <si>
    <t xml:space="preserve">02_Template_EN/03_PR_Protect/PR.PS_Platform-Security/PR-STD-011_Logging-Standard.docx</t>
  </si>
  <si>
    <t xml:space="preserve">PR-STD-012</t>
  </si>
  <si>
    <t xml:space="preserve">Endpoint Protection Standard</t>
  </si>
  <si>
    <t xml:space="preserve">มาตรฐานการป้องกันอุปกรณ์ปลายทาง</t>
  </si>
  <si>
    <t xml:space="preserve">ISO/IEC 27001:2022 Annex A 8.1, 8.7, and 8.19</t>
  </si>
  <si>
    <t xml:space="preserve">PR.PS-05, DE.CM-09</t>
  </si>
  <si>
    <t xml:space="preserve">A.8.1, A.8.7, A.8.19</t>
  </si>
  <si>
    <t xml:space="preserve">SI-3, CM-7, CM-11</t>
  </si>
  <si>
    <t xml:space="preserve">PR-REG-003</t>
  </si>
  <si>
    <t xml:space="preserve">02_Template_EN/03_PR_Protect/PR.PS_Platform-Security/PR-STD-012_Endpoint-Protection-Standard.docx</t>
  </si>
  <si>
    <t xml:space="preserve">Approved Software Register</t>
  </si>
  <si>
    <t xml:space="preserve">ทะเบียนซอฟต์แวร์ที่อนุญาตให้ใช้งาน</t>
  </si>
  <si>
    <t xml:space="preserve">ISO/IEC 27001:2022 Annex A 8.19; CIS Controls v8.1 Control 2</t>
  </si>
  <si>
    <t xml:space="preserve">PR.PS-05, ID.AM-02</t>
  </si>
  <si>
    <t xml:space="preserve">A.8.19</t>
  </si>
  <si>
    <t xml:space="preserve">CM-7(5), CM-10</t>
  </si>
  <si>
    <t xml:space="preserve">02_Template_EN/03_PR_Protect/PR.PS_Platform-Security/PR-REG-003_Approved-Software-Register.docx</t>
  </si>
  <si>
    <t xml:space="preserve">PR-STD-013</t>
  </si>
  <si>
    <t xml:space="preserve">Secure Software Development Standard</t>
  </si>
  <si>
    <t xml:space="preserve">มาตรฐานการพัฒนาซอฟต์แวร์อย่างมั่นคงปลอดภัย</t>
  </si>
  <si>
    <t xml:space="preserve">ISO/IEC 27001:2022 Annex A 8.25 to 8.31; NIST SP 800-218 (SSDF)</t>
  </si>
  <si>
    <t xml:space="preserve">PR.PS-06</t>
  </si>
  <si>
    <t xml:space="preserve">A.8.25, A.8.26, A.8.28, A.8.29, A.8.31</t>
  </si>
  <si>
    <t xml:space="preserve">SA-3, SA-8, SA-11, SA-15</t>
  </si>
  <si>
    <t xml:space="preserve">Head of Application Development</t>
  </si>
  <si>
    <t xml:space="preserve">02_Template_EN/03_PR_Protect/PR.PS_Platform-Security/PR-STD-013_Secure-Software-Development-Standard.docx</t>
  </si>
  <si>
    <t xml:space="preserve">PR-STD-014</t>
  </si>
  <si>
    <t xml:space="preserve">Cloud Security Standard</t>
  </si>
  <si>
    <t xml:space="preserve">มาตรฐานความมั่นคงปลอดภัยบนระบบคลาวด์</t>
  </si>
  <si>
    <t xml:space="preserve">ISO/IEC 27001:2022 Annex A 5.23; ISO/IEC 27017; CRC Notification on cloud security for CII [VERIFY]</t>
  </si>
  <si>
    <t xml:space="preserve">PR.PS-01, PR.IR-01, GV.SC-05, PR.AA-05</t>
  </si>
  <si>
    <t xml:space="preserve">A.5.23</t>
  </si>
  <si>
    <t xml:space="preserve">SA-9, AC-20</t>
  </si>
  <si>
    <t xml:space="preserve">Technology, Cloud</t>
  </si>
  <si>
    <t xml:space="preserve">02_Template_EN/03_PR_Protect/PR.PS_Platform-Security/PR-STD-014_Cloud-Security-Standard.docx</t>
  </si>
  <si>
    <t xml:space="preserve">PR-STD-015</t>
  </si>
  <si>
    <t xml:space="preserve">OT and Medical Device Security Standard</t>
  </si>
  <si>
    <t xml:space="preserve">มาตรฐานความมั่นคงปลอดภัยของ OT และอุปกรณ์การแพทย์</t>
  </si>
  <si>
    <t xml:space="preserve">NIST SP 800-82 Rev. 3; IEC 62443; IEC 80001-1</t>
  </si>
  <si>
    <t xml:space="preserve">PR.PS-01, PR.IR-01, PR.PS-02</t>
  </si>
  <si>
    <t xml:space="preserve">A.8.9, A.8.22</t>
  </si>
  <si>
    <t xml:space="preserve">SC-7, CM-7</t>
  </si>
  <si>
    <t xml:space="preserve">Technology, OT and Medical Device</t>
  </si>
  <si>
    <t xml:space="preserve">02_Template_EN/03_PR_Protect/PR.PS_Platform-Security/PR-STD-015_OT-and-Medical-Device-Security-Standard.docx</t>
  </si>
  <si>
    <t xml:space="preserve">PR-STD-016</t>
  </si>
  <si>
    <t xml:space="preserve">Network Security Standard</t>
  </si>
  <si>
    <t xml:space="preserve">มาตรฐานความมั่นคงปลอดภัยเครือข่าย</t>
  </si>
  <si>
    <t xml:space="preserve">Technology Infrastructure Resilience (PR.IR)</t>
  </si>
  <si>
    <t xml:space="preserve">ISO/IEC 27001:2022 Annex A 8.20 to 8.23; CIS Controls v8.1 Controls 12 and 13</t>
  </si>
  <si>
    <t xml:space="preserve">PR.IR-01</t>
  </si>
  <si>
    <t xml:space="preserve">A.8.20, A.8.21, A.8.22, A.8.23</t>
  </si>
  <si>
    <t xml:space="preserve">SC-7, AC-4</t>
  </si>
  <si>
    <t xml:space="preserve">PR-PRC-008</t>
  </si>
  <si>
    <t xml:space="preserve">02_Template_EN/03_PR_Protect/PR.IR_Technology-Infrastructure-Resilience/PR-STD-016_Network-Security-Standard.docx</t>
  </si>
  <si>
    <t xml:space="preserve">Firewall Rule Management Procedure</t>
  </si>
  <si>
    <t xml:space="preserve">ระเบียบปฏิบัติการบริหารจัดการกฎไฟร์วอลล์</t>
  </si>
  <si>
    <t xml:space="preserve">ISO/IEC 27001:2022 Annex A 8.20 and 8.32</t>
  </si>
  <si>
    <t xml:space="preserve">A.8.20, A.8.32</t>
  </si>
  <si>
    <t xml:space="preserve">SC-7, CM-3</t>
  </si>
  <si>
    <t xml:space="preserve">PR-FRM-006</t>
  </si>
  <si>
    <t xml:space="preserve">02_Template_EN/03_PR_Protect/PR.IR_Technology-Infrastructure-Resilience/PR-PRC-008_Firewall-Rule-Management-Procedure.docx</t>
  </si>
  <si>
    <t xml:space="preserve">Firewall Rule Change Request Form</t>
  </si>
  <si>
    <t xml:space="preserve">แบบฟอร์มขอเปลี่ยนแปลงกฎไฟร์วอลล์</t>
  </si>
  <si>
    <t xml:space="preserve">ISO/IEC 27001:2022 Annex A 8.20</t>
  </si>
  <si>
    <t xml:space="preserve">A.8.20</t>
  </si>
  <si>
    <t xml:space="preserve">Technology, Resilience, Evidence</t>
  </si>
  <si>
    <t xml:space="preserve">02_Template_EN/03_PR_Protect/PR.IR_Technology-Infrastructure-Resilience/PR-FRM-006_Firewall-Rule-Change-Request-Form.docx</t>
  </si>
  <si>
    <t xml:space="preserve">PR-STD-017</t>
  </si>
  <si>
    <t xml:space="preserve">Technology Resilience and Capacity Standard</t>
  </si>
  <si>
    <t xml:space="preserve">มาตรฐานความยืดหยุ่นและขีดความสามารถของระบบเทคโนโลยี</t>
  </si>
  <si>
    <t xml:space="preserve">ISO/IEC 27001:2022 Annex A 8.6 and 8.14</t>
  </si>
  <si>
    <t xml:space="preserve">PR.IR-03, PR.IR-04</t>
  </si>
  <si>
    <t xml:space="preserve">A.8.6, A.8.14</t>
  </si>
  <si>
    <t xml:space="preserve">CP-2(2), CP-7, SC-5</t>
  </si>
  <si>
    <t xml:space="preserve">02_Template_EN/03_PR_Protect/PR.IR_Technology-Infrastructure-Resilience/PR-STD-017_Technology-Resilience-and-Capacity-Standard.docx</t>
  </si>
  <si>
    <t xml:space="preserve">DE-STD-001</t>
  </si>
  <si>
    <t xml:space="preserve">Security Monitoring Standard</t>
  </si>
  <si>
    <t xml:space="preserve">มาตรฐานการเฝ้าระวังความมั่นคงปลอดภัย</t>
  </si>
  <si>
    <t xml:space="preserve">Detect (DE)</t>
  </si>
  <si>
    <t xml:space="preserve">Continuous Monitoring (DE.CM)</t>
  </si>
  <si>
    <t xml:space="preserve">CSA s.56 (monitoring mechanism); ISO/IEC 27001:2022 Annex A 8.16</t>
  </si>
  <si>
    <t xml:space="preserve">DE.CM-01, DE.CM-02, DE.CM-03, DE.CM-06, DE.CM-09</t>
  </si>
  <si>
    <t xml:space="preserve">A.8.16</t>
  </si>
  <si>
    <t xml:space="preserve">SI-4, AU-6</t>
  </si>
  <si>
    <t xml:space="preserve">DE-PRC-001, DE-REG-001, DE-GDL-001, DE-PRC-002, DE-REG-002, DE-PRC-003</t>
  </si>
  <si>
    <t xml:space="preserve">Cybersecurity consultant (project) / Managed Security Service Provider (MSSP)</t>
  </si>
  <si>
    <t xml:space="preserve">PR-STD-011, ID-REG-005</t>
  </si>
  <si>
    <t xml:space="preserve">02_Template_EN/04_DE_Detect/DE.CM_Continuous-Monitoring/DE-STD-001_Security-Monitoring-Standard.docx</t>
  </si>
  <si>
    <t xml:space="preserve">DE-PRC-001</t>
  </si>
  <si>
    <t xml:space="preserve">Security Monitoring Operations Procedure</t>
  </si>
  <si>
    <t xml:space="preserve">ระเบียบปฏิบัติการดำเนินงานเฝ้าระวังความมั่นคงปลอดภัย</t>
  </si>
  <si>
    <t xml:space="preserve">ISO/IEC 27001:2022 Annex A 8.16</t>
  </si>
  <si>
    <t xml:space="preserve">DE.CM-01, DE.CM-03, DE.CM-09, DE.AE-06</t>
  </si>
  <si>
    <t xml:space="preserve">SI-4, IR-5</t>
  </si>
  <si>
    <t xml:space="preserve">Security Operations Center (SOC) Lead</t>
  </si>
  <si>
    <t xml:space="preserve">02_Template_EN/04_DE_Detect/DE.CM_Continuous-Monitoring/DE-PRC-001_Security-Monitoring-Operations-Procedure.docx</t>
  </si>
  <si>
    <t xml:space="preserve">DE-REG-001</t>
  </si>
  <si>
    <t xml:space="preserve">Log Source and Monitoring Coverage Register</t>
  </si>
  <si>
    <t xml:space="preserve">ทะเบียนแหล่งข้อมูล Log และขอบเขตการเฝ้าระวัง</t>
  </si>
  <si>
    <t xml:space="preserve">ISO/IEC 27001:2022 Annex A 8.15 and 8.16</t>
  </si>
  <si>
    <t xml:space="preserve">DE.CM-01, DE.CM-09, PR.PS-04</t>
  </si>
  <si>
    <t xml:space="preserve">A.8.15, A.8.16</t>
  </si>
  <si>
    <t xml:space="preserve">AU-2, SI-4</t>
  </si>
  <si>
    <t xml:space="preserve">02_Template_EN/04_DE_Detect/DE.CM_Continuous-Monitoring/DE-REG-001_Log-Source-and-Monitoring-Coverage-Register.docx</t>
  </si>
  <si>
    <t xml:space="preserve">DE-GDL-001</t>
  </si>
  <si>
    <t xml:space="preserve">Managed Security Service Provider (MSSP) Requirements Guideline</t>
  </si>
  <si>
    <t xml:space="preserve">แนวทางกำหนดข้อกำหนดบริการผู้ให้บริการความมั่นคงปลอดภัยแบบบริหารจัดการ (MSSP)</t>
  </si>
  <si>
    <t xml:space="preserve">Guideline</t>
  </si>
  <si>
    <t xml:space="preserve">ISO/IEC 27001:2022 Annex A 5.22</t>
  </si>
  <si>
    <t xml:space="preserve">DE.CM-06, GV.SC-05</t>
  </si>
  <si>
    <t xml:space="preserve">A.5.20, A.5.22</t>
  </si>
  <si>
    <t xml:space="preserve">SA-9</t>
  </si>
  <si>
    <t xml:space="preserve">DE-STD-001, GV-STD-002</t>
  </si>
  <si>
    <t xml:space="preserve">02_Template_EN/04_DE_Detect/DE.CM_Continuous-Monitoring/DE-GDL-001_Managed-Security-Service-Provider-MSSP-Requirements-Guideline.docx</t>
  </si>
  <si>
    <t xml:space="preserve">DE-PRC-002</t>
  </si>
  <si>
    <t xml:space="preserve">Security Event Triage and Analysis Procedure</t>
  </si>
  <si>
    <t xml:space="preserve">ระเบียบปฏิบัติการคัดกรองและวิเคราะห์เหตุการณ์ความมั่นคงปลอดภัย</t>
  </si>
  <si>
    <t xml:space="preserve">Adverse Event Analysis (DE.AE)</t>
  </si>
  <si>
    <t xml:space="preserve">ISO/IEC 27001:2022 Annex A 5.25</t>
  </si>
  <si>
    <t xml:space="preserve">DE.AE-02, DE.AE-03, DE.AE-04, DE.AE-06, DE.AE-07</t>
  </si>
  <si>
    <t xml:space="preserve">A.5.25</t>
  </si>
  <si>
    <t xml:space="preserve">IR-4, SI-4</t>
  </si>
  <si>
    <t xml:space="preserve">DE-STD-002, DE-PRC-001</t>
  </si>
  <si>
    <t xml:space="preserve">02_Template_EN/04_DE_Detect/DE.AE_Adverse-Event-Analysis/DE-PRC-002_Security-Event-Triage-and-Analysis-Procedure.docx</t>
  </si>
  <si>
    <t xml:space="preserve">DE-STD-002</t>
  </si>
  <si>
    <t xml:space="preserve">Incident Classification and Severity Standard</t>
  </si>
  <si>
    <t xml:space="preserve">มาตรฐานการจำแนกประเภทและระดับความรุนแรงของเหตุการณ์</t>
  </si>
  <si>
    <t xml:space="preserve">CRC Notification on CII duties 2024 (incident reporting within 24 hours) [VERIFY]; ISO/IEC 27001:2022 Annex A 5.25</t>
  </si>
  <si>
    <t xml:space="preserve">DE.AE-04, DE.AE-08, RS.MA-03</t>
  </si>
  <si>
    <t xml:space="preserve">RS-PLN-001</t>
  </si>
  <si>
    <t xml:space="preserve">ACT-17 Incident Response Readiness Workshop</t>
  </si>
  <si>
    <t xml:space="preserve">02_Template_EN/04_DE_Detect/DE.AE_Adverse-Event-Analysis/DE-STD-002_Incident-Classification-and-Severity-Standard.docx</t>
  </si>
  <si>
    <t xml:space="preserve">DE-REG-002</t>
  </si>
  <si>
    <t xml:space="preserve">Detection Use Case Catalog</t>
  </si>
  <si>
    <t xml:space="preserve">บัญชีกรณีการตรวจจับ (Detection Use Case)</t>
  </si>
  <si>
    <t xml:space="preserve">MITRE ATT&amp;CK; ISO/IEC 27001:2022 Annex A 8.16</t>
  </si>
  <si>
    <t xml:space="preserve">DE.AE-02, DE.AE-07, DE.CM-01, DE.CM-09</t>
  </si>
  <si>
    <t xml:space="preserve">SI-4</t>
  </si>
  <si>
    <t xml:space="preserve">02_Template_EN/04_DE_Detect/DE.AE_Adverse-Event-Analysis/DE-REG-002_Detection-Use-Case-Catalog.docx</t>
  </si>
  <si>
    <t xml:space="preserve">DE-PRC-003</t>
  </si>
  <si>
    <t xml:space="preserve">Threat Hunting Procedure</t>
  </si>
  <si>
    <t xml:space="preserve">ระเบียบปฏิบัติการค้นหาภัยคุกคามเชิงรุก (Threat Hunting)</t>
  </si>
  <si>
    <t xml:space="preserve">NIST SP 800-53 Rev. 5 RA-10</t>
  </si>
  <si>
    <t xml:space="preserve">DE.AE-02, DE.AE-03, DE.AE-07</t>
  </si>
  <si>
    <t xml:space="preserve">RA-10</t>
  </si>
  <si>
    <t xml:space="preserve">02_Template_EN/04_DE_Detect/DE.AE_Adverse-Event-Analysis/DE-PRC-003_Threat-Hunting-Procedure.docx</t>
  </si>
  <si>
    <t xml:space="preserve">Cybersecurity Incident Response Plan</t>
  </si>
  <si>
    <t xml:space="preserve">แผนการรับมือเหตุการณ์ภัยคุกคามทางไซเบอร์</t>
  </si>
  <si>
    <t xml:space="preserve">Respond (RS)</t>
  </si>
  <si>
    <t xml:space="preserve">Incident Management (RS.MA)</t>
  </si>
  <si>
    <t xml:space="preserve">CSA s.44 (incident response plan within the code of practice) and s.58; ISO/IEC 27001:2022 Annex A 5.24; NIST SP 800-61 Rev. 3</t>
  </si>
  <si>
    <t xml:space="preserve">RS.MA-01, RS.MA-04, RS.MA-05, RS.CO-02, RS.CO-03, GV.SC-08, ID.IM-04</t>
  </si>
  <si>
    <t xml:space="preserve">A.5.24, A.5.26</t>
  </si>
  <si>
    <t xml:space="preserve">IR-1, IR-8</t>
  </si>
  <si>
    <t xml:space="preserve">DE-STD-002, RS-PRC-001, RS-REG-002, RS-PRC-002, RS-PRC-003</t>
  </si>
  <si>
    <t xml:space="preserve">Incident response retainer / Cybersecurity consultant (project)</t>
  </si>
  <si>
    <t xml:space="preserve">RS-REG-002</t>
  </si>
  <si>
    <t xml:space="preserve">02_Template_EN/05_RS_Respond/RS.MA_Incident-Management/RS-PLN-001_Cybersecurity-Incident-Response-Plan.docx</t>
  </si>
  <si>
    <t xml:space="preserve">RS-PRC-001</t>
  </si>
  <si>
    <t xml:space="preserve">Incident Handling Procedure</t>
  </si>
  <si>
    <t xml:space="preserve">ระเบียบปฏิบัติการจัดการเหตุการณ์ความมั่นคงปลอดภัย</t>
  </si>
  <si>
    <t xml:space="preserve">ISO/IEC 27001:2022 Annex A 5.26; NIST SP 800-61 Rev. 3</t>
  </si>
  <si>
    <t xml:space="preserve">RS.MA-02, RS.MA-03, RS.MA-04, RS.MA-05, RS.MI-01, RS.MI-02</t>
  </si>
  <si>
    <t xml:space="preserve">A.5.26</t>
  </si>
  <si>
    <t xml:space="preserve">IR-4</t>
  </si>
  <si>
    <t xml:space="preserve">RS-PLB-001, RS-PLB-002, RS-PLB-003, RS-PLB-004, RS-FRM-001, RS-REG-001, RS-TPL-001</t>
  </si>
  <si>
    <t xml:space="preserve">Cybersecurity consultant (project) / Incident response retainer</t>
  </si>
  <si>
    <t xml:space="preserve">RS-PLN-001, DE-STD-002</t>
  </si>
  <si>
    <t xml:space="preserve">02_Template_EN/05_RS_Respond/RS.MA_Incident-Management/RS-PRC-001_Incident-Handling-Procedure.docx</t>
  </si>
  <si>
    <t xml:space="preserve">RS-PLB-001</t>
  </si>
  <si>
    <t xml:space="preserve">Ransomware Response Playbook</t>
  </si>
  <si>
    <t xml:space="preserve">คู่มือการรับมือแรนซัมแวร์ (Ransomware)</t>
  </si>
  <si>
    <t xml:space="preserve">Playbook</t>
  </si>
  <si>
    <t xml:space="preserve">NIST SP 800-61 Rev. 3; NIST IR 8374 (Ransomware Risk Management)</t>
  </si>
  <si>
    <t xml:space="preserve">RS.MI-01, RS.MI-02, RS.AN-03, RC.RP-03</t>
  </si>
  <si>
    <t xml:space="preserve">Process, Resilience</t>
  </si>
  <si>
    <t xml:space="preserve">ACT-17 Incident Response Readiness Workshop; ACT-20 Tabletop Exercise</t>
  </si>
  <si>
    <t xml:space="preserve">RS-PLN-001, PR-PRC-005</t>
  </si>
  <si>
    <t xml:space="preserve">02_Template_EN/05_RS_Respond/RS.MA_Incident-Management/RS-PLB-001_Ransomware-Response-Playbook.docx</t>
  </si>
  <si>
    <t xml:space="preserve">RS-PLB-002</t>
  </si>
  <si>
    <t xml:space="preserve">Phishing and Business Email Compromise Playbook</t>
  </si>
  <si>
    <t xml:space="preserve">คู่มือการรับมือฟิชชิ่งและการหลอกลวงทางอีเมลธุรกิจ (BEC)</t>
  </si>
  <si>
    <t xml:space="preserve">NIST SP 800-61 Rev. 3</t>
  </si>
  <si>
    <t xml:space="preserve">RS.MI-01, RS.MI-02, RS.AN-03</t>
  </si>
  <si>
    <t xml:space="preserve">02_Template_EN/05_RS_Respond/RS.MA_Incident-Management/RS-PLB-002_Phishing-and-Business-Email-Compromise-Playbook.docx</t>
  </si>
  <si>
    <t xml:space="preserve">RS-PLB-003</t>
  </si>
  <si>
    <t xml:space="preserve">Personal Data Breach Response Playbook</t>
  </si>
  <si>
    <t xml:space="preserve">คู่มือการรับมือเหตุละเมิดข้อมูลส่วนบุคคล</t>
  </si>
  <si>
    <t xml:space="preserve">PDPA s.37(4); PDPC Notification on Breach Notification Criteria B.E. 2565 [VERIFY]</t>
  </si>
  <si>
    <t xml:space="preserve">RS.MA-03, RS.AN-08, RS.CO-02, RS.CO-03</t>
  </si>
  <si>
    <t xml:space="preserve">A.5.26, A.5.34</t>
  </si>
  <si>
    <t xml:space="preserve">IR-4, IR-6</t>
  </si>
  <si>
    <t xml:space="preserve">RS-PRC-001, GV-POL-004</t>
  </si>
  <si>
    <t xml:space="preserve">DPO or privacy counsel service / Cybersecurity consultant (project)</t>
  </si>
  <si>
    <t xml:space="preserve">02_Template_EN/05_RS_Respond/RS.MA_Incident-Management/RS-PLB-003_Personal-Data-Breach-Response-Playbook.docx</t>
  </si>
  <si>
    <t xml:space="preserve">RS-PLB-004</t>
  </si>
  <si>
    <t xml:space="preserve">Compromised Account Playbook</t>
  </si>
  <si>
    <t xml:space="preserve">คู่มือการรับมือบัญชีผู้ใช้ถูกยึด</t>
  </si>
  <si>
    <t xml:space="preserve">RS.MI-01, RS.MI-02</t>
  </si>
  <si>
    <t xml:space="preserve">02_Template_EN/05_RS_Respond/RS.MA_Incident-Management/RS-PLB-004_Compromised-Account-Playbook.docx</t>
  </si>
  <si>
    <t xml:space="preserve">RS-FRM-001</t>
  </si>
  <si>
    <t xml:space="preserve">Incident Report Form</t>
  </si>
  <si>
    <t xml:space="preserve">แบบฟอร์มรายงานเหตุการณ์ความมั่นคงปลอดภัย</t>
  </si>
  <si>
    <t xml:space="preserve">ISO/IEC 27001:2022 Annex A 6.8</t>
  </si>
  <si>
    <t xml:space="preserve">RS.MA-02</t>
  </si>
  <si>
    <t xml:space="preserve">A.6.8</t>
  </si>
  <si>
    <t xml:space="preserve">IR-6</t>
  </si>
  <si>
    <t xml:space="preserve">02_Template_EN/05_RS_Respond/RS.MA_Incident-Management/RS-FRM-001_Incident-Report-Form.docx</t>
  </si>
  <si>
    <t xml:space="preserve">RS-REG-001</t>
  </si>
  <si>
    <t xml:space="preserve">Incident Register</t>
  </si>
  <si>
    <t xml:space="preserve">ทะเบียนเหตุการณ์ความมั่นคงปลอดภัย</t>
  </si>
  <si>
    <t xml:space="preserve">ISO/IEC 27001:2022 Annex A 5.25 and 5.26</t>
  </si>
  <si>
    <t xml:space="preserve">RS.MA-02, RS.MA-03, RS.AN-03, RS.AN-08</t>
  </si>
  <si>
    <t xml:space="preserve">A.5.25, A.5.26</t>
  </si>
  <si>
    <t xml:space="preserve">IR-5</t>
  </si>
  <si>
    <t xml:space="preserve">02_Template_EN/05_RS_Respond/RS.MA_Incident-Management/RS-REG-001_Incident-Register.docx</t>
  </si>
  <si>
    <t xml:space="preserve">Incident Response Contact List</t>
  </si>
  <si>
    <t xml:space="preserve">รายชื่อผู้ติดต่อในการรับมือเหตุการณ์</t>
  </si>
  <si>
    <t xml:space="preserve">CSA s.46 and s.52 (contact officers and CII contact details within 30 days)</t>
  </si>
  <si>
    <t xml:space="preserve">RS.MA-01, RS.CO-02, RS.CO-03, GV.SC-08</t>
  </si>
  <si>
    <t xml:space="preserve">A.5.5, A.5.6</t>
  </si>
  <si>
    <t xml:space="preserve">IR-6, IR-7</t>
  </si>
  <si>
    <t xml:space="preserve">02_Template_EN/05_RS_Respond/RS.MA_Incident-Management/RS-REG-002_Incident-Response-Contact-List.docx</t>
  </si>
  <si>
    <t xml:space="preserve">RS-PRC-002</t>
  </si>
  <si>
    <t xml:space="preserve">Digital Forensics and Evidence Handling Procedure</t>
  </si>
  <si>
    <t xml:space="preserve">ระเบียบปฏิบัติการพิสูจน์หลักฐานดิจิทัลและการจัดการพยานหลักฐาน</t>
  </si>
  <si>
    <t xml:space="preserve">Incident Analysis (RS.AN)</t>
  </si>
  <si>
    <t xml:space="preserve">ISO/IEC 27001:2022 Annex A 5.28; ISO/IEC 27037</t>
  </si>
  <si>
    <t xml:space="preserve">RS.AN-03, RS.AN-06, RS.AN-07, RS.AN-08</t>
  </si>
  <si>
    <t xml:space="preserve">A.5.28</t>
  </si>
  <si>
    <t xml:space="preserve">AU-9, IR-4</t>
  </si>
  <si>
    <t xml:space="preserve">RS-FRM-002</t>
  </si>
  <si>
    <t xml:space="preserve">02_Template_EN/05_RS_Respond/RS.AN_Incident-Analysis/RS-PRC-002_Digital-Forensics-and-Evidence-Handling-Procedure.docx</t>
  </si>
  <si>
    <t xml:space="preserve">Evidence Chain of Custody Form</t>
  </si>
  <si>
    <t xml:space="preserve">แบบบันทึกการส่งมอบพยานหลักฐาน (Chain of Custody)</t>
  </si>
  <si>
    <t xml:space="preserve">RS.AN-06, RS.AN-07</t>
  </si>
  <si>
    <t xml:space="preserve">AU-9</t>
  </si>
  <si>
    <t xml:space="preserve">02_Template_EN/05_RS_Respond/RS.AN_Incident-Analysis/RS-FRM-002_Evidence-Chain-of-Custody-Form.docx</t>
  </si>
  <si>
    <t xml:space="preserve">RS-TPL-001</t>
  </si>
  <si>
    <t xml:space="preserve">Incident Investigation Report Template</t>
  </si>
  <si>
    <t xml:space="preserve">แม่แบบรายงานการสอบสวนเหตุการณ์</t>
  </si>
  <si>
    <t xml:space="preserve">ISO/IEC 27001:2022 Annex A 5.26 and 5.27</t>
  </si>
  <si>
    <t xml:space="preserve">RS.AN-03, RS.AN-06, RS.AN-08</t>
  </si>
  <si>
    <t xml:space="preserve">A.5.26, A.5.27</t>
  </si>
  <si>
    <t xml:space="preserve">Cybersecurity consultant (project) / In-house IT</t>
  </si>
  <si>
    <t xml:space="preserve">02_Template_EN/05_RS_Respond/RS.AN_Incident-Analysis/RS-TPL-001_Incident-Investigation-Report-Template.docx</t>
  </si>
  <si>
    <t xml:space="preserve">RS-PRC-003</t>
  </si>
  <si>
    <t xml:space="preserve">Incident Notification and Communication Procedure</t>
  </si>
  <si>
    <t xml:space="preserve">ระเบียบปฏิบัติการแจ้งเหตุและการสื่อสารระหว่างเหตุการณ์</t>
  </si>
  <si>
    <t xml:space="preserve">Incident Response Reporting and Communication (RS.CO)</t>
  </si>
  <si>
    <t xml:space="preserve">PDPA, CII</t>
  </si>
  <si>
    <t xml:space="preserve">PDPA s.37(4) (notify the PDPC within 72 hours); CSA s.57 and s.58; CRC Notification on CII duties 2024 [VERIFY]</t>
  </si>
  <si>
    <t xml:space="preserve">RS.CO-02, RS.CO-03</t>
  </si>
  <si>
    <t xml:space="preserve">A.5.5, A.5.24</t>
  </si>
  <si>
    <t xml:space="preserve">RS-TPL-002</t>
  </si>
  <si>
    <t xml:space="preserve">ACT-03 Legal and Regulatory Applicability Review; ACT-17 Incident Response Readiness Workshop</t>
  </si>
  <si>
    <t xml:space="preserve">RS-PLN-001, GV-REG-001</t>
  </si>
  <si>
    <t xml:space="preserve">02_Template_EN/05_RS_Respond/RS.CO_Incident-Response-Reporting-and-Communication/RS-PRC-003_Incident-Notification-and-Communication-Procedure.docx</t>
  </si>
  <si>
    <t xml:space="preserve">Regulatory Notification Templates</t>
  </si>
  <si>
    <t xml:space="preserve">แม่แบบการแจ้งเหตุต่อหน่วยงานกำกับดูแล</t>
  </si>
  <si>
    <t xml:space="preserve">PDPA s.37(4); CSA s.57</t>
  </si>
  <si>
    <t xml:space="preserve">A.5.5</t>
  </si>
  <si>
    <t xml:space="preserve">02_Template_EN/05_RS_Respond/RS.CO_Incident-Response-Reporting-and-Communication/RS-TPL-002_Regulatory-Notification-Templates.docx</t>
  </si>
  <si>
    <t xml:space="preserve">Business Continuity Management Policy</t>
  </si>
  <si>
    <t xml:space="preserve">นโยบายการบริหารความต่อเนื่องทางธุรกิจ</t>
  </si>
  <si>
    <t xml:space="preserve">Recover (RC)</t>
  </si>
  <si>
    <t xml:space="preserve">Incident Recovery Plan Execution (RC.RP)</t>
  </si>
  <si>
    <t xml:space="preserve">CRC Notification on CII duties 2024 (BCP) [VERIFY]; ISO 22301:2019 Clause 5.2; ISO/IEC 27001:2022 Annex A 5.29 and 5.30</t>
  </si>
  <si>
    <t xml:space="preserve">RC.RP-01, GV.OC-04</t>
  </si>
  <si>
    <t xml:space="preserve">CP-1</t>
  </si>
  <si>
    <t xml:space="preserve">ID-RPT-002, PR-STD-017, RC-PLN-001, RC-PLN-003</t>
  </si>
  <si>
    <t xml:space="preserve">Governance, Legal and Regulatory, Resilience</t>
  </si>
  <si>
    <t xml:space="preserve">GV-CHR-001, ID-RPT-002</t>
  </si>
  <si>
    <t xml:space="preserve">02_Template_EN/06_RC_Recover/RC.RP_Incident-Recovery-Plan-Execution/RC-POL-001_Business-Continuity-Management-Policy.docx</t>
  </si>
  <si>
    <t xml:space="preserve">RC-PLN-001</t>
  </si>
  <si>
    <t xml:space="preserve">Business Continuity Plan (BCP)</t>
  </si>
  <si>
    <t xml:space="preserve">แผนความต่อเนื่องทางธุรกิจ (BCP)</t>
  </si>
  <si>
    <t xml:space="preserve">CRC Notification on CII duties 2024 (prepare a BCP under prescribed criteria) [VERIFY]; ISO 22301:2019 Clause 8.4</t>
  </si>
  <si>
    <t xml:space="preserve">RC.RP-01, RC.RP-02, RC.RP-04, RC.RP-06, RC.CO-03</t>
  </si>
  <si>
    <t xml:space="preserve">CP-2</t>
  </si>
  <si>
    <t xml:space="preserve">RC-PLN-002, RC-PRC-002</t>
  </si>
  <si>
    <t xml:space="preserve">02_Template_EN/06_RC_Recover/RC.RP_Incident-Recovery-Plan-Execution/RC-PLN-001_Business-Continuity-Plan-BCP.docx</t>
  </si>
  <si>
    <t xml:space="preserve">RC-PLN-002</t>
  </si>
  <si>
    <t xml:space="preserve">IT Disaster Recovery Plan (DRP)</t>
  </si>
  <si>
    <t xml:space="preserve">แผนการกู้คืนระบบสารสนเทศ (DRP)</t>
  </si>
  <si>
    <t xml:space="preserve">ISO/IEC 27001:2022 Annex A 5.30; supports CRC Notification on CII duties 2024 [VERIFY]</t>
  </si>
  <si>
    <t xml:space="preserve">RC.RP-01, RC.RP-02, RC.RP-03, RC.RP-05</t>
  </si>
  <si>
    <t xml:space="preserve">A.5.30, A.8.14</t>
  </si>
  <si>
    <t xml:space="preserve">CP-2, CP-10</t>
  </si>
  <si>
    <t xml:space="preserve">RC-PRC-001, RC-FRM-001</t>
  </si>
  <si>
    <t xml:space="preserve">Technology, Legal and Regulatory, Resilience</t>
  </si>
  <si>
    <t xml:space="preserve">02_Template_EN/06_RC_Recover/RC.RP_Incident-Recovery-Plan-Execution/RC-PLN-002_IT-Disaster-Recovery-Plan-DRP.docx</t>
  </si>
  <si>
    <t xml:space="preserve">RC-PRC-001</t>
  </si>
  <si>
    <t xml:space="preserve">System Recovery Runbook Template</t>
  </si>
  <si>
    <t xml:space="preserve">แม่แบบคู่มือขั้นตอนการกู้คืนระบบ (Runbook)</t>
  </si>
  <si>
    <t xml:space="preserve">ISO/IEC 27001:2022 Annex A 5.37</t>
  </si>
  <si>
    <t xml:space="preserve">RC.RP-02, RC.RP-03, RC.RP-05</t>
  </si>
  <si>
    <t xml:space="preserve">A.5.30, A.5.37</t>
  </si>
  <si>
    <t xml:space="preserve">CP-10</t>
  </si>
  <si>
    <t xml:space="preserve">Annual and after each test</t>
  </si>
  <si>
    <t xml:space="preserve">02_Template_EN/06_RC_Recover/RC.RP_Incident-Recovery-Plan-Execution/RC-PRC-001_System-Recovery-Runbook-Template.docx</t>
  </si>
  <si>
    <t xml:space="preserve">BCP and DR Exercise Report</t>
  </si>
  <si>
    <t xml:space="preserve">รายงานผลการฝึกซ้อม BCP และ DR</t>
  </si>
  <si>
    <t xml:space="preserve">CRC Notification on CII duties 2024 (annual BCP exercise) [VERIFY]; ISO 22301:2019 Clause 8.5</t>
  </si>
  <si>
    <t xml:space="preserve">RC.RP-02, RC.RP-05, ID.IM-02</t>
  </si>
  <si>
    <t xml:space="preserve">A.5.30</t>
  </si>
  <si>
    <t xml:space="preserve">CP-4</t>
  </si>
  <si>
    <t xml:space="preserve">Each exercise</t>
  </si>
  <si>
    <t xml:space="preserve">Process, Legal and Regulatory, Resilience, Evidence</t>
  </si>
  <si>
    <t xml:space="preserve">ACT-21 Business Continuity and Disaster Recovery Exercise</t>
  </si>
  <si>
    <t xml:space="preserve">ID-PLN-002, RC-PLN-002</t>
  </si>
  <si>
    <t xml:space="preserve">02_Template_EN/06_RC_Recover/RC.RP_Incident-Recovery-Plan-Execution/RC-REC-001_BCP-and-DR-Exercise-Report.docx</t>
  </si>
  <si>
    <t xml:space="preserve">RC-FRM-001</t>
  </si>
  <si>
    <t xml:space="preserve">Recovery Completion and Sign-off Form</t>
  </si>
  <si>
    <t xml:space="preserve">แบบฟอร์มยืนยันการกู้คืนระบบเสร็จสมบูรณ์</t>
  </si>
  <si>
    <t xml:space="preserve">RC.RP-04, RC.RP-05, RC.RP-06</t>
  </si>
  <si>
    <t xml:space="preserve">CP-10, IR-4</t>
  </si>
  <si>
    <t xml:space="preserve">Process, Resilience, Evidence</t>
  </si>
  <si>
    <t xml:space="preserve">02_Template_EN/06_RC_Recover/RC.RP_Incident-Recovery-Plan-Execution/RC-FRM-001_Recovery-Completion-and-Sign-off-Form.docx</t>
  </si>
  <si>
    <t xml:space="preserve">RC-PLN-003</t>
  </si>
  <si>
    <t xml:space="preserve">Crisis Management Plan</t>
  </si>
  <si>
    <t xml:space="preserve">แผนการบริหารภาวะวิกฤต</t>
  </si>
  <si>
    <t xml:space="preserve">Incident Recovery Communication (RC.CO)</t>
  </si>
  <si>
    <t xml:space="preserve">ISO 22361:2022; ISO 22301:2019 Clause 8.4.2</t>
  </si>
  <si>
    <t xml:space="preserve">RC.CO-03, RC.CO-04, RS.MA-04</t>
  </si>
  <si>
    <t xml:space="preserve">A.5.29</t>
  </si>
  <si>
    <t xml:space="preserve">CP-2, IR-8</t>
  </si>
  <si>
    <t xml:space="preserve">Governance, Resilience</t>
  </si>
  <si>
    <t xml:space="preserve">ACT-20 Tabletop Exercise</t>
  </si>
  <si>
    <t xml:space="preserve">02_Template_EN/06_RC_Recover/RC.CO_Incident-Recovery-Communication/RC-PLN-003_Crisis-Management-Plan.docx</t>
  </si>
  <si>
    <t xml:space="preserve">RC-PRC-002</t>
  </si>
  <si>
    <t xml:space="preserve">Crisis Communication Procedure</t>
  </si>
  <si>
    <t xml:space="preserve">ระเบียบปฏิบัติการสื่อสารในภาวะวิกฤต</t>
  </si>
  <si>
    <t xml:space="preserve">ISO 22301:2019 Clause 8.4.3</t>
  </si>
  <si>
    <t xml:space="preserve">RC.CO-03, RC.CO-04</t>
  </si>
  <si>
    <t xml:space="preserve">CP-2, IR-7</t>
  </si>
  <si>
    <t xml:space="preserve">Corporate Communications Manager</t>
  </si>
  <si>
    <t xml:space="preserve">RC-TPL-001</t>
  </si>
  <si>
    <t xml:space="preserve">02_Template_EN/06_RC_Recover/RC.CO_Incident-Recovery-Communication/RC-PRC-002_Crisis-Communication-Procedure.docx</t>
  </si>
  <si>
    <t xml:space="preserve">Public Statement and Stakeholder Update Templates</t>
  </si>
  <si>
    <t xml:space="preserve">แม่แบบแถลงการณ์และการแจ้งความคืบหน้าต่อผู้มีส่วนได้ส่วนเสีย</t>
  </si>
  <si>
    <t xml:space="preserve">RC.CO-04, RC.CO-03</t>
  </si>
  <si>
    <t xml:space="preserve">IR-7</t>
  </si>
  <si>
    <t xml:space="preserve">02_Template_EN/06_RC_Recover/RC.CO_Incident-Recovery-Communication/RC-TPL-001_Public-Statement-and-Stakeholder-Update-Templates.docx</t>
  </si>
  <si>
    <t xml:space="preserve">Wave Name</t>
  </si>
  <si>
    <t xml:space="preserve">Timing</t>
  </si>
  <si>
    <t xml:space="preserve">Title</t>
  </si>
  <si>
    <t xml:space="preserve">Why</t>
  </si>
  <si>
    <t xml:space="preserve">Unlocks</t>
  </si>
  <si>
    <t xml:space="preserve">Interim: Align Later To</t>
  </si>
  <si>
    <t xml:space="preserve">Advice</t>
  </si>
  <si>
    <t xml:space="preserve">W0</t>
  </si>
  <si>
    <t xml:space="preserve">Mandate and Mobilize</t>
  </si>
  <si>
    <t xml:space="preserve">Month 0 to 2</t>
  </si>
  <si>
    <t xml:space="preserve">Track A: Governance build</t>
  </si>
  <si>
    <t xml:space="preserve">Needs neutral facilitation of executive or cross-department decisions.</t>
  </si>
  <si>
    <t xml:space="preserve">GV-CHR-002, GV-POL-001, GV-RPT-001, GV-STM-001, RC-POL-001, GV-PRC-007</t>
  </si>
  <si>
    <t xml:space="preserve">Template-driven: content is mostly factual or administrative.</t>
  </si>
  <si>
    <t xml:space="preserve">GV-REG-003, GV-PRC-006</t>
  </si>
  <si>
    <t xml:space="preserve">Needs interpretation of Thai cybersecurity, PDPA, or contract obligations.</t>
  </si>
  <si>
    <t xml:space="preserve">GV-POL-001, GV-RPT-001, GV-POL-004, GV-REG-006, PR-STD-011, RS-PRC-003</t>
  </si>
  <si>
    <t xml:space="preserve">Needs neutral facilitation of executive or cross-department decisions. Needs interpretation of Thai cybersecurity, PDPA, or contract obligations.</t>
  </si>
  <si>
    <t xml:space="preserve">GV-PRC-002, ID-STD-001, GV-POL-004, GV-POL-002, GV-POL-003, PR-POL-001, PR-POL-003, GV-POL-006, PR-POL-002, GV-STD-001, GV-PRC-003, ID-STD-002, PR-PRC-006, PR-STD-013, ID-PRC-006</t>
  </si>
  <si>
    <t xml:space="preserve">Issue a short umbrella policy early. Topic policies follow once the risk picture is known.</t>
  </si>
  <si>
    <t xml:space="preserve">Track B: Threat-driven quick wins (Day 0 to 90)</t>
  </si>
  <si>
    <t xml:space="preserve">Needs incident handling and digital forensics experience. Needs interpretation of Thai cybersecurity, PDPA, or contract obligations.</t>
  </si>
  <si>
    <t xml:space="preserve">RS-FRM-001, RS-REG-001, RS-PLB-001, DE-STD-002, RS-PRC-001, RS-PRC-002, RS-PRC-003, ID-PLN-002</t>
  </si>
  <si>
    <t xml:space="preserve">Start with a 5 to 10 page interim plan in the first 30 days. Expand it in Wave 3 once severity levels and procedures exist.</t>
  </si>
  <si>
    <t xml:space="preserve">Operational: IT runs it day to day once the parent standard exists.</t>
  </si>
  <si>
    <t xml:space="preserve">PR-REC-003, RS-PLB-001</t>
  </si>
  <si>
    <t xml:space="preserve">Needs security architecture judgment to set technical requirements.</t>
  </si>
  <si>
    <t xml:space="preserve">PR-STD-002, PR-STD-003</t>
  </si>
  <si>
    <t xml:space="preserve">Multi-factor authentication for remote access, email, and administrators is the first technical control to enforce.</t>
  </si>
  <si>
    <t xml:space="preserve">W1</t>
  </si>
  <si>
    <t xml:space="preserve">Understand</t>
  </si>
  <si>
    <t xml:space="preserve">Month 1 to 4</t>
  </si>
  <si>
    <t xml:space="preserve">GV-REG-002, GV-STR-001, GV-REG-005</t>
  </si>
  <si>
    <t xml:space="preserve">Template-driven: content is mostly factual or administrative. Operational: IT runs it day to day once the parent standard exists.</t>
  </si>
  <si>
    <t xml:space="preserve">ID-RPT-001, ID-REG-004, ID-RPT-002, ID-REG-005, PR-STD-012, PR-STD-010</t>
  </si>
  <si>
    <t xml:space="preserve">Do not wait for the asset standard. Build the inventory now and formalize the rules later.</t>
  </si>
  <si>
    <t xml:space="preserve">ID-REG-003, ID-RPT-002</t>
  </si>
  <si>
    <t xml:space="preserve">Needs privacy expertise: PDPA lawful basis, DPIA, data subject rights.</t>
  </si>
  <si>
    <t xml:space="preserve">GV-REG-007, PR-POL-003</t>
  </si>
  <si>
    <t xml:space="preserve">Needs privacy expertise: PDPA lawful basis, DPIA, data subject rights. Needs interpretation of Thai cybersecurity, PDPA, or contract obligations.</t>
  </si>
  <si>
    <t xml:space="preserve">GV-TPL-004, GV-PRC-005, GV-PRC-004, RS-PLB-003</t>
  </si>
  <si>
    <t xml:space="preserve">Needs business continuity methodology (ISO 22301). Needs neutral facilitation of executive or cross-department decisions.</t>
  </si>
  <si>
    <t xml:space="preserve">GV-STM-001, ID-REG-005, RC-POL-001, PR-STD-017, RC-PLN-001</t>
  </si>
  <si>
    <t xml:space="preserve">BIA usually runs before the continuity policy is approved. Align it to RC-POL-001 when issued.</t>
  </si>
  <si>
    <t xml:space="preserve">Needs neutral facilitation of executive or cross-department decisions. Needs risk methodology design and calibration skills.</t>
  </si>
  <si>
    <t xml:space="preserve">Needs risk methodology design and calibration skills.</t>
  </si>
  <si>
    <t xml:space="preserve">ID-REG-005, GV-FRM-001, ID-PRC-004</t>
  </si>
  <si>
    <t xml:space="preserve">ID-RPT-003, ID-PLN-001, DE-STD-001</t>
  </si>
  <si>
    <t xml:space="preserve">Needs incident handling and digital forensics experience.</t>
  </si>
  <si>
    <t xml:space="preserve">W2</t>
  </si>
  <si>
    <t xml:space="preserve">Direct</t>
  </si>
  <si>
    <t xml:space="preserve">Month 3 to 7</t>
  </si>
  <si>
    <t xml:space="preserve">Only needed for ISO/IEC 27001 certification. Otherwise use the CSF Target Profile as the control selection record.</t>
  </si>
  <si>
    <t xml:space="preserve">PR-PLN-001, PR-STD-009, GV-POL-005</t>
  </si>
  <si>
    <t xml:space="preserve">PR-PRC-001, PR-PRC-002</t>
  </si>
  <si>
    <t xml:space="preserve">PR-STD-004, PR-STD-005, PR-STD-007</t>
  </si>
  <si>
    <t xml:space="preserve">Needs vendor security assessment experience.</t>
  </si>
  <si>
    <t xml:space="preserve">PR-STD-014, GV-PRC-008, GV-STD-002, GV-STD-003</t>
  </si>
  <si>
    <t xml:space="preserve">Needs business continuity methodology (ISO 22301).</t>
  </si>
  <si>
    <t xml:space="preserve">HR process: HR owns it and security supplies the content.</t>
  </si>
  <si>
    <t xml:space="preserve">W3</t>
  </si>
  <si>
    <t xml:space="preserve">Standardize</t>
  </si>
  <si>
    <t xml:space="preserve">Month 6 to 12</t>
  </si>
  <si>
    <t xml:space="preserve">Needs experienced offensive security testers, preferably certified.</t>
  </si>
  <si>
    <t xml:space="preserve">Needs experienced offensive security testers, preferably certified. Needs interpretation of Thai cybersecurity, PDPA, or contract obligations.</t>
  </si>
  <si>
    <t xml:space="preserve">Needs security architecture judgment to set technical requirements. Needs interpretation of Thai cybersecurity, PDPA, or contract obligations.</t>
  </si>
  <si>
    <t xml:space="preserve">Needs security architecture judgment to set technical requirements. Needs business continuity methodology (ISO 22301).</t>
  </si>
  <si>
    <t xml:space="preserve">GV-FRM-006, GV-FRM-007</t>
  </si>
  <si>
    <t xml:space="preserve">Needs vendor security assessment experience. Needs interpretation of Thai cybersecurity, PDPA, or contract obligations.</t>
  </si>
  <si>
    <t xml:space="preserve">Needs security architecture judgment to set technical requirements. Needs vendor security assessment experience.</t>
  </si>
  <si>
    <t xml:space="preserve">Needs detection engineering and security monitoring expertise.</t>
  </si>
  <si>
    <t xml:space="preserve">DE-PRC-001, DE-REG-001, DE-GDL-001</t>
  </si>
  <si>
    <t xml:space="preserve">DE-PRC-002, DE-REG-002</t>
  </si>
  <si>
    <t xml:space="preserve">Needs vendor security assessment experience. Needs detection engineering and security monitoring expertise.</t>
  </si>
  <si>
    <t xml:space="preserve">Required in practice if monitoring is outsourced. Prepare it before the MSSP request for proposal.</t>
  </si>
  <si>
    <t xml:space="preserve">DE-PRC-002, RS-PRC-001</t>
  </si>
  <si>
    <t xml:space="preserve">Needs detection engineering and security monitoring expertise. Needs incident handling and digital forensics experience.</t>
  </si>
  <si>
    <t xml:space="preserve">RS-PLB-002, RS-PLB-003, RS-PLB-004, RS-TPL-001</t>
  </si>
  <si>
    <t xml:space="preserve">Needs privacy expertise: PDPA lawful basis, DPIA, data subject rights. Needs incident handling and digital forensics experience.</t>
  </si>
  <si>
    <t xml:space="preserve">Needs interpretation of Thai cybersecurity, PDPA, or contract obligations. Needs incident handling and digital forensics experience.</t>
  </si>
  <si>
    <t xml:space="preserve">Needs interpretation of Thai cybersecurity, PDPA, or contract obligations. Needs privacy expertise: PDPA lawful basis, DPIA, data subject rights.</t>
  </si>
  <si>
    <t xml:space="preserve">RC-PLN-002, RC-PRC-002, ID-PLN-002, RC-PLN-003</t>
  </si>
  <si>
    <t xml:space="preserve">Needs business continuity methodology (ISO 22301). Needs security architecture judgment to set technical requirements.</t>
  </si>
  <si>
    <t xml:space="preserve">RC-PRC-001, RC-FRM-001, RC-REC-001</t>
  </si>
  <si>
    <t xml:space="preserve">W4</t>
  </si>
  <si>
    <t xml:space="preserve">Operate and Prove</t>
  </si>
  <si>
    <t xml:space="preserve">Month 9 to 18</t>
  </si>
  <si>
    <t xml:space="preserve">Needs independent audit competence; the security team cannot audit its own work.</t>
  </si>
  <si>
    <t xml:space="preserve">If internal audit lacks cybersecurity skills, co-source rather than let the security team audit itself.</t>
  </si>
  <si>
    <t xml:space="preserve">ID-REG-007, ID-TPL-001</t>
  </si>
  <si>
    <t xml:space="preserve">Needs incident handling and digital forensics experience. Needs business continuity methodology (ISO 22301).</t>
  </si>
  <si>
    <t xml:space="preserve">W5</t>
  </si>
  <si>
    <t xml:space="preserve">Optimize</t>
  </si>
  <si>
    <t xml:space="preserve">Month 18 onward</t>
  </si>
  <si>
    <t xml:space="preserve">Needs interpretation of Thai cybersecurity, PDPA, or contract obligations. Needs security architecture judgment to set technical requirements.</t>
  </si>
  <si>
    <t xml:space="preserve">Move to Wave 2 if staff already use generative AI tools with company data.</t>
  </si>
  <si>
    <t xml:space="preserve">Needs security architecture judgment to set technical requirements. Needs privacy expertise: PDPA lawful basis, DPIA, data subject rights.</t>
  </si>
  <si>
    <t xml:space="preserve">Move to Wave 3 for hospitals, factories, and utilities where OT or medical devices are on the network.</t>
  </si>
  <si>
    <t xml:space="preserve">Activity ID</t>
  </si>
  <si>
    <t xml:space="preserve">Activity (EN)</t>
  </si>
  <si>
    <t xml:space="preserve">Activity (TH)</t>
  </si>
  <si>
    <t xml:space="preserve">Purpose</t>
  </si>
  <si>
    <t xml:space="preserve">Agenda</t>
  </si>
  <si>
    <t xml:space="preserve">Participants</t>
  </si>
  <si>
    <t xml:space="preserve">Inputs</t>
  </si>
  <si>
    <t xml:space="preserve">Duration</t>
  </si>
  <si>
    <t xml:space="preserve">Frequency</t>
  </si>
  <si>
    <t xml:space="preserve">Facilitator Capability</t>
  </si>
  <si>
    <t xml:space="preserve">First Time in This Organization</t>
  </si>
  <si>
    <t xml:space="preserve">Feeds Documents</t>
  </si>
  <si>
    <t xml:space="preserve">ACT-01</t>
  </si>
  <si>
    <t xml:space="preserve">Executive Kickoff and Mandate Meeting</t>
  </si>
  <si>
    <t xml:space="preserve">ประชุม Kickoff ผู้บริหารและการมอบอำนาจหน้าที่</t>
  </si>
  <si>
    <t xml:space="preserve">Secure executive sponsorship, agree why the organization is formalizing cybersecurity, and confirm who owns the program.</t>
  </si>
  <si>
    <t xml:space="preserve">1. Trigger and business case: incidents in the sector, legal duties (CII, PDPA), customer demands
2. Program objectives for the first 12 months
3. Who sponsors, who owns, and who runs the program
4. Reporting line of the security lead and escalation route to the Board
5. Decisions needed: approve charter drafting, name the program owner, set the next meeting</t>
  </si>
  <si>
    <t xml:space="preserve">Chief Executive Officer (CEO), Chief Information Officer (CIO), Chief Financial Officer (CFO), Chief Information Security Officer (CISO) or Security Manager, Chief Risk Officer (CRO) or Enterprise Risk Manager, Legal Counsel</t>
  </si>
  <si>
    <t xml:space="preserve">Sector incident news, legal applicability notes</t>
  </si>
  <si>
    <t xml:space="preserve">90 minutes</t>
  </si>
  <si>
    <t xml:space="preserve">One time</t>
  </si>
  <si>
    <t xml:space="preserve">Keep it short and decision focused. Bring one page with three decisions only. Without a named sponsor, every later document will stall at approval.</t>
  </si>
  <si>
    <t xml:space="preserve">ACT-02</t>
  </si>
  <si>
    <t xml:space="preserve">Governance Structure and RACI Workshop</t>
  </si>
  <si>
    <t xml:space="preserve">Workshop โครงสร้างการกำกับดูแลและ RACI</t>
  </si>
  <si>
    <t xml:space="preserve">Design the steering committee, define roles across IT, security, privacy, risk, and audit, and agree a Responsible, Accountable, Consulted, Informed (RACI) matrix.</t>
  </si>
  <si>
    <t xml:space="preserve">1. Current state: who does security work today, formally or informally
2. Steering committee membership, chair, quorum, and meeting frequency
3. Separation of duties: security versus IT operations versus internal audit
4. RACI for the top 15 security activities
5. Gaps that need a new role, a part-time assignment, or an external provider</t>
  </si>
  <si>
    <t xml:space="preserve">Chief Information Officer (CIO), Chief Information Security Officer (CISO) or Security Manager, Human Resources Director, Data Protection Officer (DPO), Chief Risk Officer (CRO) or Enterprise Risk Manager, Head of Internal Audit</t>
  </si>
  <si>
    <t xml:space="preserve">Organization chart, current job descriptions</t>
  </si>
  <si>
    <t xml:space="preserve">Half day</t>
  </si>
  <si>
    <t xml:space="preserve">One time, then annual review</t>
  </si>
  <si>
    <t xml:space="preserve">Map real work before drawing boxes. A common trap is naming the IT Manager as both the person who operates systems and the person who checks them.</t>
  </si>
  <si>
    <t xml:space="preserve">GV-CHR-001, GV-CHR-002, GV-REG-003</t>
  </si>
  <si>
    <t xml:space="preserve">ACT-03</t>
  </si>
  <si>
    <t xml:space="preserve">Legal and Regulatory Applicability Review</t>
  </si>
  <si>
    <t xml:space="preserve">การทบทวนกฎหมายและกฎระเบียบที่บังคับใช้</t>
  </si>
  <si>
    <t xml:space="preserve">Confirm which laws, regulator notifications, and contracts apply, and translate each into concrete obligations and owners.</t>
  </si>
  <si>
    <t xml:space="preserve">1. Is the organization a Critical Information Infrastructure (CII) operator under the Cybersecurity Act B.E. 2562
2. Personal data processed and whether sensitive data under PDPA s.26 is involved
3. Computer Crime Act duties if the organization provides network access to others
4. Sector regulator rules and key customer or partner contract clauses
5. Obligation list with owner, evidence, and deadline</t>
  </si>
  <si>
    <t xml:space="preserve">Legal Counsel, Chief Information Security Officer (CISO) or Security Manager, Data Protection Officer (DPO), Chief Information Officer (CIO)</t>
  </si>
  <si>
    <t xml:space="preserve">Laws and notifications, key contracts, regulator letters</t>
  </si>
  <si>
    <t xml:space="preserve">2 to 3 working sessions</t>
  </si>
  <si>
    <t xml:space="preserve">One time, then semiannual update</t>
  </si>
  <si>
    <t xml:space="preserve">Thai cybersecurity notifications change often. Have legal counsel or a specialist consultant confirm current CII and PDPC requirements before writing obligations into policy.</t>
  </si>
  <si>
    <t xml:space="preserve">GV-REG-001, GV-POL-001, GV-REG-006, GV-POL-004, RS-PRC-003</t>
  </si>
  <si>
    <t xml:space="preserve">ACT-04</t>
  </si>
  <si>
    <t xml:space="preserve">Scope and Organizational Context Workshop</t>
  </si>
  <si>
    <t xml:space="preserve">Workshop ขอบเขตและบริบทองค์กร</t>
  </si>
  <si>
    <t xml:space="preserve">Agree what the security program covers: sites, services, systems, interfaces, and stakeholders.</t>
  </si>
  <si>
    <t xml:space="preserve">1. Critical services and the systems behind them
2. Sites, cloud services, and outsourced functions in and out of scope
3. Internal and external stakeholders and their expectations
4. Interfaces and dependencies with third parties
5. Draft scope statement and exclusions with justification</t>
  </si>
  <si>
    <t xml:space="preserve">Chief Information Security Officer (CISO) or Security Manager, Chief Information Officer (CIO), Chief Risk Officer (CRO) or Enterprise Risk Manager, System Owner</t>
  </si>
  <si>
    <t xml:space="preserve">Service catalog, system list, legal obligation list</t>
  </si>
  <si>
    <t xml:space="preserve">Start narrow if resources are thin, such as the critical services only, and widen the scope each year.</t>
  </si>
  <si>
    <t xml:space="preserve">GV-RPT-001, GV-REG-002</t>
  </si>
  <si>
    <t xml:space="preserve">ACT-05</t>
  </si>
  <si>
    <t xml:space="preserve">Asset Discovery and Inventory Reconciliation</t>
  </si>
  <si>
    <t xml:space="preserve">การสำรวจและกระทบยอดทะเบียนทรัพย์สิน</t>
  </si>
  <si>
    <t xml:space="preserve">Build a trusted inventory of hardware, software, cloud services, and data by comparing several sources.</t>
  </si>
  <si>
    <t xml:space="preserve">1. Collect sources: network scan, endpoint agent, directory service, finance asset register, purchase records
2. Reconcile differences and identify unknown or unmanaged devices
3. Assign an owner and criticality to each asset
4. Agree the system of record and the update trigger (purchase, change, disposal)</t>
  </si>
  <si>
    <t xml:space="preserve">IT Infrastructure Manager, System Owner, Chief Financial Officer (CFO), Facilities Manager</t>
  </si>
  <si>
    <t xml:space="preserve">Scan results, directory export, finance register</t>
  </si>
  <si>
    <t xml:space="preserve">2 to 6 weeks</t>
  </si>
  <si>
    <t xml:space="preserve">Initial build, then continuous</t>
  </si>
  <si>
    <t xml:space="preserve">IT can run this alone. Do not wait for a perfect list; 90 percent coverage with owners is enough to start risk assessment.</t>
  </si>
  <si>
    <t xml:space="preserve">ID-REG-001, ID-REG-002, ID-RPT-001, ID-REG-004</t>
  </si>
  <si>
    <t xml:space="preserve">ACT-06</t>
  </si>
  <si>
    <t xml:space="preserve">Data Mapping Interviews</t>
  </si>
  <si>
    <t xml:space="preserve">การสัมภาษณ์เพื่อจัดทำแผนผังข้อมูล</t>
  </si>
  <si>
    <t xml:space="preserve">Find out what personal and sensitive data each department collects, why, where it is stored, and who receives it.</t>
  </si>
  <si>
    <t xml:space="preserve">1. Processing activities per department and their purpose
2. Lawful basis for each activity under PDPA
3. Systems, storage locations, and retention period
4. Transfers to processors and cross-border transfers
5. Follow-up items: missing consent, missing contract, excessive retention</t>
  </si>
  <si>
    <t xml:space="preserve">Data Protection Officer (DPO), System Owner, Legal Counsel, IT Infrastructure Manager</t>
  </si>
  <si>
    <t xml:space="preserve">Department list, forms and systems used to collect data</t>
  </si>
  <si>
    <t xml:space="preserve">45 to 60 minutes per department</t>
  </si>
  <si>
    <t xml:space="preserve">Initial, then annual refresh</t>
  </si>
  <si>
    <t xml:space="preserve">Use a short questionnaire before each interview. Lawful basis decisions need privacy counsel or a DPO service if no one in-house has PDPA experience.</t>
  </si>
  <si>
    <t xml:space="preserve">GV-REG-007, GV-TPL-002, ID-REG-003</t>
  </si>
  <si>
    <t xml:space="preserve">ACT-07</t>
  </si>
  <si>
    <t xml:space="preserve">Business Impact Analysis (BIA) Interviews and Validation Workshop</t>
  </si>
  <si>
    <t xml:space="preserve">การสัมภาษณ์และ Workshop ยืนยันผลการวิเคราะห์ผลกระทบทางธุรกิจ (BIA)</t>
  </si>
  <si>
    <t xml:space="preserve">Determine how long each critical service can be down, how much data it can lose, and which systems and suppliers it depends on.</t>
  </si>
  <si>
    <t xml:space="preserve">1. Impact over time: 1 hour, 4 hours, 1 day, 3 days (safety, financial, legal, reputation)
2. Maximum tolerable downtime, Recovery Time Objective (RTO), and Recovery Point Objective (RPO) per service
3. Dependencies: systems, people, suppliers, facilities
4. Manual workarounds and how long they can run
5. Validation workshop: management confirms RTO and RPO and accepts the cost implications</t>
  </si>
  <si>
    <t xml:space="preserve">Business Continuity Management (BCM) Coordinator, System Owner, Chief Information Officer (CIO), Chief Financial Officer (CFO), Risk Owner</t>
  </si>
  <si>
    <t xml:space="preserve">Service list, asset inventory, incident history</t>
  </si>
  <si>
    <t xml:space="preserve">1 to 2 hours per service, plus a 2 hour validation workshop</t>
  </si>
  <si>
    <t xml:space="preserve">Business owners tend to say every service needs zero downtime. A facilitator experienced in ISO 22301 must challenge the numbers and show the cost of each RTO.</t>
  </si>
  <si>
    <t xml:space="preserve">ID-RPT-002, RC-PLN-001</t>
  </si>
  <si>
    <t xml:space="preserve">ACT-08</t>
  </si>
  <si>
    <t xml:space="preserve">Risk Appetite Workshop</t>
  </si>
  <si>
    <t xml:space="preserve">Workshop ระดับความเสี่ยงที่ยอมรับได้</t>
  </si>
  <si>
    <t xml:space="preserve">Have executives state how much cybersecurity risk the organization will accept, in measurable terms.</t>
  </si>
  <si>
    <t xml:space="preserve">1. Recap of top business objectives and recent sector incidents
2. Appetite by risk area: service disruption, data breach, regulatory breach, fraud
3. Tolerance thresholds and Key Risk Indicators (KRI) that trigger escalation
4. Who may accept which level of risk
5. Approval route to the Board or its committee</t>
  </si>
  <si>
    <t xml:space="preserve">Chief Executive Officer (CEO), Chief Financial Officer (CFO), Chief Information Officer (CIO), Chief Risk Officer (CRO) or Enterprise Risk Manager, Chief Information Security Officer (CISO) or Security Manager, Board of Directors</t>
  </si>
  <si>
    <t xml:space="preserve">Enterprise risk framework, BIA results</t>
  </si>
  <si>
    <t xml:space="preserve">2 hours</t>
  </si>
  <si>
    <t xml:space="preserve">Executives rarely state appetite unprompted. Prepare scenario cards with impact in baht and hours of downtime, then ask which ones they would accept.</t>
  </si>
  <si>
    <t xml:space="preserve">ACT-09</t>
  </si>
  <si>
    <t xml:space="preserve">Risk Methodology Design and Calibration Session</t>
  </si>
  <si>
    <t xml:space="preserve">การออกแบบและปรับเทียบวิธีการประเมินความเสี่ยง</t>
  </si>
  <si>
    <t xml:space="preserve">Define the likelihood and impact scales, risk matrix, and treatment rules, aligned with enterprise risk management and NIST SP 800-30.</t>
  </si>
  <si>
    <t xml:space="preserve">1. Align scales with the enterprise risk framework
2. Impact criteria: patient or customer safety, financial, legal, operational, reputation
3. Likelihood criteria tied to threat and control evidence
4. Treatment options and acceptance authority per risk level
5. Trial run on three known risks to calibrate scoring</t>
  </si>
  <si>
    <t xml:space="preserve">Chief Information Security Officer (CISO) or Security Manager, Chief Risk Officer (CRO) or Enterprise Risk Manager, Head of Internal Audit</t>
  </si>
  <si>
    <t xml:space="preserve">Enterprise risk framework, risk appetite statement</t>
  </si>
  <si>
    <t xml:space="preserve">Two 2 hour sessions</t>
  </si>
  <si>
    <t xml:space="preserve">This is the most common place where IT-only teams go wrong: scales that do not match enterprise risk, or every risk scored High. Engage a specialist for the first cycle.</t>
  </si>
  <si>
    <t xml:space="preserve">ACT-10</t>
  </si>
  <si>
    <t xml:space="preserve">Risk Assessment Workshops</t>
  </si>
  <si>
    <t xml:space="preserve">Workshop ประเมินความเสี่ยง</t>
  </si>
  <si>
    <t xml:space="preserve">Identify, analyze, and evaluate cybersecurity risks per critical service or system using the agreed methodology.</t>
  </si>
  <si>
    <t xml:space="preserve">1. Threat scenarios relevant to the service (ransomware, data theft, vendor compromise, insider)
2. Existing controls and their evidence
3. Likelihood and impact scoring with justification
4. Risk owner confirmation
5. Initial treatment direction</t>
  </si>
  <si>
    <t xml:space="preserve">Chief Information Security Officer (CISO) or Security Manager, Risk Owner, System Owner, IT Infrastructure Manager</t>
  </si>
  <si>
    <t xml:space="preserve">Asset inventory, BIA, vulnerability results, threat intelligence</t>
  </si>
  <si>
    <t xml:space="preserve">2 hours per service or system group</t>
  </si>
  <si>
    <t xml:space="preserve">Threat scenarios and control effectiveness need security judgment. IT can supply facts, but a specialist should lead scoring in the first year.</t>
  </si>
  <si>
    <t xml:space="preserve">ID-REG-005, ID-PLN-001, ID-RPT-003</t>
  </si>
  <si>
    <t xml:space="preserve">ACT-11</t>
  </si>
  <si>
    <t xml:space="preserve">Current State Assessment and CSF Profile Gap Analysis</t>
  </si>
  <si>
    <t xml:space="preserve">การประเมินสภาพปัจจุบันและวิเคราะห์ช่องว่างตาม CSF Profile</t>
  </si>
  <si>
    <t xml:space="preserve">Measure current practice against NIST CSF 2.0, set a Target Profile, and list the gaps that drive the roadmap.</t>
  </si>
  <si>
    <t xml:space="preserve">1. Interviews and evidence review per CSF Category
2. Current Profile and Tier rating
3. Target Profile agreed with management, informed by risk appetite and legal duties
4. Gap list with priority and effort
5. Read-out to the steering committee</t>
  </si>
  <si>
    <t xml:space="preserve">Chief Information Security Officer (CISO) or Security Manager, Chief Information Officer (CIO), System Owner, Head of Internal Audit</t>
  </si>
  <si>
    <t xml:space="preserve">Existing policies, technical evidence, prior audit findings</t>
  </si>
  <si>
    <t xml:space="preserve">3 to 6 weeks</t>
  </si>
  <si>
    <t xml:space="preserve">An independent assessor gives a more credible baseline than self-assessment, and the result is easier to defend in a budget request.</t>
  </si>
  <si>
    <t xml:space="preserve">GV-STR-001, GV-REG-005, GV-REG-006, ID-RPT-003</t>
  </si>
  <si>
    <t xml:space="preserve">ACT-12</t>
  </si>
  <si>
    <t xml:space="preserve">Strategy, Roadmap, and Budget Planning Session</t>
  </si>
  <si>
    <t xml:space="preserve">การประชุมวางยุทธศาสตร์ แผนงาน และงบประมาณ</t>
  </si>
  <si>
    <t xml:space="preserve">Turn the gap analysis and risk register into a funded multi-year roadmap.</t>
  </si>
  <si>
    <t xml:space="preserve">1. Top risks and gaps that the roadmap must close
2. Initiatives, sequence, and dependencies
3. People, technology, and service costs; build versus buy versus outsource
4. Metrics that show progress
5. CFO review and approval route</t>
  </si>
  <si>
    <t xml:space="preserve">Chief Information Security Officer (CISO) or Security Manager, Chief Information Officer (CIO), Chief Financial Officer (CFO), Chief Executive Officer (CEO)</t>
  </si>
  <si>
    <t xml:space="preserve">Gap analysis, risk register, current spend</t>
  </si>
  <si>
    <t xml:space="preserve">Two half-day sessions</t>
  </si>
  <si>
    <t xml:space="preserve">Annual budget cycle</t>
  </si>
  <si>
    <t xml:space="preserve">Tie every budget line to a named risk or legal duty. Requests framed as tools are cut first.</t>
  </si>
  <si>
    <t xml:space="preserve">GV-STR-001, GV-PLN-001, GV-REG-008</t>
  </si>
  <si>
    <t xml:space="preserve">ACT-13</t>
  </si>
  <si>
    <t xml:space="preserve">Policy Drafting and Stakeholder Review Cycle</t>
  </si>
  <si>
    <t xml:space="preserve">รอบการร่างนโยบายและการทบทวนกับผู้มีส่วนได้ส่วนเสีย</t>
  </si>
  <si>
    <t xml:space="preserve">Draft policies and standards, test them with the people who must follow them, and resolve objections before approval.</t>
  </si>
  <si>
    <t xml:space="preserve">1. Walk-through of the draft with affected departments
2. Feasibility check: can operations comply with current tools and staff
3. Conflicts with HR rules, labor law, or clinical or production workflows
4. Exceptions that will be needed and their owners
5. Final draft for approval</t>
  </si>
  <si>
    <t xml:space="preserve">Chief Information Security Officer (CISO) or Security Manager, IT Infrastructure Manager, Human Resources Director, Legal Counsel, System Owner</t>
  </si>
  <si>
    <t xml:space="preserve">Template, legal obligation list, risk register</t>
  </si>
  <si>
    <t xml:space="preserve">1 to 2 weeks per document</t>
  </si>
  <si>
    <t xml:space="preserve">Per document</t>
  </si>
  <si>
    <t xml:space="preserve">A policy copied from a template without a feasibility check creates instant noncompliance. Review with operations before approval, not after.</t>
  </si>
  <si>
    <t xml:space="preserve">GV-POL-002, GV-STD-001, GV-POL-001, GV-POL-003, GV-POL-005, GV-POL-004, GV-PRC-004, GV-PRC-005, GV-POL-006, ID-STD-001, PR-POL-001, PR-POL-002, PR-POL-003, PR-STD-004, PR-STD-005, PR-STD-007, PR-STD-009, PR-STD-013, RC-POL-001</t>
  </si>
  <si>
    <t xml:space="preserve">ACT-14</t>
  </si>
  <si>
    <t xml:space="preserve">Policy Approval and Communication</t>
  </si>
  <si>
    <t xml:space="preserve">การอนุมัติและสื่อสารนโยบาย</t>
  </si>
  <si>
    <t xml:space="preserve">Obtain formal approval, publish the document, and record that staff have read and accepted it.</t>
  </si>
  <si>
    <t xml:space="preserve">1. Present the document and the summary of changes to the approver
2. Approval decision and effective date
3. Publication channel and version control
4. Staff acknowledgment and briefing plan</t>
  </si>
  <si>
    <t xml:space="preserve">Chief Information Security Officer (CISO) or Security Manager, Information Security Steering Committee (ISSC), Human Resources Director, Corporate Communications Manager</t>
  </si>
  <si>
    <t xml:space="preserve">Final draft, document control procedure</t>
  </si>
  <si>
    <t xml:space="preserve">30 minutes at the approval meeting, 2 to 4 weeks for rollout</t>
  </si>
  <si>
    <t xml:space="preserve">Keep evidence of approval and acknowledgment. Auditors ask for it before they read the content.</t>
  </si>
  <si>
    <t xml:space="preserve">GV-POL-002, GV-POL-001, GV-PRC-002, GV-POL-003, GV-POL-005, GV-POL-004, GV-POL-006, PR-POL-001, PR-POL-002, PR-POL-003, RC-POL-001</t>
  </si>
  <si>
    <t xml:space="preserve">ACT-15</t>
  </si>
  <si>
    <t xml:space="preserve">Technical Baseline Review</t>
  </si>
  <si>
    <t xml:space="preserve">การทบทวน Baseline ทางเทคนิค</t>
  </si>
  <si>
    <t xml:space="preserve">Compare current system configuration with a recognized benchmark and decide the minimum settings for each platform.</t>
  </si>
  <si>
    <t xml:space="preserve">1. Select benchmarks such as CIS Benchmarks and vendor guidance
2. Scan or sample current configuration
3. Agree mandatory settings and documented deviations
4. Plan to apply and monitor the baseline</t>
  </si>
  <si>
    <t xml:space="preserve">IT Infrastructure Manager, Chief Information Security Officer (CISO) or Security Manager, System Owner</t>
  </si>
  <si>
    <t xml:space="preserve">Asset inventory, scan tools</t>
  </si>
  <si>
    <t xml:space="preserve">1 to 2 weeks per platform group</t>
  </si>
  <si>
    <t xml:space="preserve">Annual and on new platforms</t>
  </si>
  <si>
    <t xml:space="preserve">IT can apply benchmarks, but deciding which settings matter for the threat profile needs security review.</t>
  </si>
  <si>
    <t xml:space="preserve">PR-STD-010, PR-STD-014, PR-STD-015, PR-STD-016</t>
  </si>
  <si>
    <t xml:space="preserve">ACT-16</t>
  </si>
  <si>
    <t xml:space="preserve">Supplier Tiering Workshop</t>
  </si>
  <si>
    <t xml:space="preserve">Workshop จัดระดับผู้ให้บริการ</t>
  </si>
  <si>
    <t xml:space="preserve">Rank suppliers by the access and data they hold and decide the assessment depth for each tier.</t>
  </si>
  <si>
    <t xml:space="preserve">1. Supplier list from procurement and accounts payable
2. Criteria: data access, system access, service criticality, replaceability
3. Tier assignment and assessment method per tier
4. Contract clauses required per tier</t>
  </si>
  <si>
    <t xml:space="preserve">Procurement Manager, Chief Information Security Officer (CISO) or Security Manager, Legal Counsel, Data Protection Officer (DPO), IT Infrastructure Manager</t>
  </si>
  <si>
    <t xml:space="preserve">Supplier list, contracts, remote access list</t>
  </si>
  <si>
    <t xml:space="preserve">Start with suppliers that have remote access or hold personal data. These cause most supply chain incidents.</t>
  </si>
  <si>
    <t xml:space="preserve">GV-PRC-008, GV-REG-009, GV-FRM-006, GV-STD-002</t>
  </si>
  <si>
    <t xml:space="preserve">ACT-17</t>
  </si>
  <si>
    <t xml:space="preserve">Incident Response Readiness Workshop</t>
  </si>
  <si>
    <t xml:space="preserve">Workshop เตรียมความพร้อมรับมือเหตุการณ์</t>
  </si>
  <si>
    <t xml:space="preserve">Agree who does what in an incident, how it is escalated, and how regulators and data subjects are notified.</t>
  </si>
  <si>
    <t xml:space="preserve">1. Incident team roles and backups, including out-of-hours contacts
2. Severity levels and escalation triggers
3. Regulatory notification duties and time limits (CII, PDPA) [VERIFY current notifications]
4. External support: incident response retainer, forensics, legal, insurer
5. Decision rights: shutting down systems, paying for recovery, public statements</t>
  </si>
  <si>
    <t xml:space="preserve">Chief Information Security Officer (CISO) or Security Manager, Chief Information Officer (CIO), Data Protection Officer (DPO), Legal Counsel, Corporate Communications Manager, Chief Executive Officer (CEO)</t>
  </si>
  <si>
    <t xml:space="preserve">Contact list, legal obligation list, insurance policy</t>
  </si>
  <si>
    <t xml:space="preserve">One time, then annual</t>
  </si>
  <si>
    <t xml:space="preserve">Without in-house incident experience, sign an incident response retainer first. The plan must name who you will call.</t>
  </si>
  <si>
    <t xml:space="preserve">DE-STD-002, RS-PLN-001, RS-PRC-001, RS-PLB-001, RS-PLB-002, RS-PLB-003, RS-PLB-004, RS-PRC-002, RS-PRC-003</t>
  </si>
  <si>
    <t xml:space="preserve">ACT-18</t>
  </si>
  <si>
    <t xml:space="preserve">Backup and Restore Validation Test</t>
  </si>
  <si>
    <t xml:space="preserve">การทดสอบการสำรองและกู้คืนข้อมูล</t>
  </si>
  <si>
    <t xml:space="preserve">Prove that critical systems can be restored from backup within the agreed RTO and RPO, including from an offline copy.</t>
  </si>
  <si>
    <t xml:space="preserve">1. Select systems and the backup set to restore
2. Restore into an isolated environment
3. Measure time to restore and data loss
4. Confirm the offline or immutable copy is usable
5. Record result and fix gaps</t>
  </si>
  <si>
    <t xml:space="preserve">IT Infrastructure Manager, System Owner, Chief Information Security Officer (CISO) or Security Manager</t>
  </si>
  <si>
    <t xml:space="preserve">Backup schedule, BIA results</t>
  </si>
  <si>
    <t xml:space="preserve">1 to 3 days per system</t>
  </si>
  <si>
    <t xml:space="preserve">Quarterly for critical systems</t>
  </si>
  <si>
    <t xml:space="preserve">Many organizations discover in the first test that backups are incomplete or encrypted together with production. Run the test before writing the procedure.</t>
  </si>
  <si>
    <t xml:space="preserve">PR-STD-006, PR-PRC-005, PR-REC-003, RC-PLN-002, RC-PRC-001</t>
  </si>
  <si>
    <t xml:space="preserve">ACT-19</t>
  </si>
  <si>
    <t xml:space="preserve">Identity and Privileged Access Review</t>
  </si>
  <si>
    <t xml:space="preserve">การทบทวนตัวตนและสิทธิ์ระดับสูง</t>
  </si>
  <si>
    <t xml:space="preserve">Find all administrator and service accounts, check Multi-Factor Authentication (MFA) coverage, and remove unneeded privilege.</t>
  </si>
  <si>
    <t xml:space="preserve">1. Export privileged groups from directory, cloud, network, and key applications
2. Confirm owner and business need for each account
3. MFA coverage for remote access, email, and administrators
4. Shared and vendor accounts
5. Clean-up actions and owners</t>
  </si>
  <si>
    <t xml:space="preserve">Directory export, cloud admin roles, vendor access list</t>
  </si>
  <si>
    <t xml:space="preserve">1 to 2 weeks</t>
  </si>
  <si>
    <t xml:space="preserve">IT can run the review. Expect to find accounts of former staff and vendors with permanent domain admin rights.</t>
  </si>
  <si>
    <t xml:space="preserve">PR-STD-001, PR-STD-002, PR-STD-003, PR-REC-001, PR-REG-001</t>
  </si>
  <si>
    <t xml:space="preserve">ACT-20</t>
  </si>
  <si>
    <t xml:space="preserve">Tabletop Exercise</t>
  </si>
  <si>
    <t xml:space="preserve">การฝึกซ้อมแบบ Tabletop</t>
  </si>
  <si>
    <t xml:space="preserve">Walk executives and responders through a realistic scenario to test the plan, decisions, and communication.</t>
  </si>
  <si>
    <t xml:space="preserve">1. Scenario briefing, for example ransomware on the core system at night
2. Injects every 15 to 20 minutes: spread, media call, regulator deadline, ransom note
3. Decisions and who made them
4. Hot debrief: what worked, what failed
5. Action list with owners and dates</t>
  </si>
  <si>
    <t xml:space="preserve">Chief Executive Officer (CEO), Chief Information Officer (CIO), Chief Information Security Officer (CISO) or Security Manager, Data Protection Officer (DPO), Legal Counsel, Corporate Communications Manager, Business Continuity Management (BCM) Coordinator</t>
  </si>
  <si>
    <t xml:space="preserve">Incident response plan, playbooks, contact list</t>
  </si>
  <si>
    <t xml:space="preserve">2 to 3 hours</t>
  </si>
  <si>
    <t xml:space="preserve">At least annually</t>
  </si>
  <si>
    <t xml:space="preserve">A realistic scenario needs an experienced facilitator who has handled real incidents. Internal facilitators tend to make it too easy.</t>
  </si>
  <si>
    <t xml:space="preserve">ID-PLN-002, RS-PLB-001, RC-PLN-003</t>
  </si>
  <si>
    <t xml:space="preserve">ACT-21</t>
  </si>
  <si>
    <t xml:space="preserve">Business Continuity and Disaster Recovery Exercise</t>
  </si>
  <si>
    <t xml:space="preserve">การฝึกซ้อมความต่อเนื่องทางธุรกิจและการกู้คืนระบบ</t>
  </si>
  <si>
    <t xml:space="preserve">Test failover, manual workarounds, and recovery sequence against RTO and RPO.</t>
  </si>
  <si>
    <t xml:space="preserve">1. Exercise objectives and success criteria
2. Execution: failover or restore, manual workaround activation
3. Timing against RTO and RPO
4. Issues log and recovery sign-off
5. Report and improvement actions</t>
  </si>
  <si>
    <t xml:space="preserve">Business Continuity Management (BCM) Coordinator, IT Infrastructure Manager, System Owner, Chief Information Officer (CIO)</t>
  </si>
  <si>
    <t xml:space="preserve">BCP, DRP, runbooks</t>
  </si>
  <si>
    <t xml:space="preserve">Half day to 2 days</t>
  </si>
  <si>
    <t xml:space="preserve">Start with a walkthrough test before a live failover. A failed live test on a production system causes the outage it was meant to prevent.</t>
  </si>
  <si>
    <t xml:space="preserve">ID-PLN-002, RC-REC-001</t>
  </si>
  <si>
    <t xml:space="preserve">ACT-22</t>
  </si>
  <si>
    <t xml:space="preserve">Security Monitoring Design Session</t>
  </si>
  <si>
    <t xml:space="preserve">การประชุมออกแบบการเฝ้าระวังความมั่นคงปลอดภัย</t>
  </si>
  <si>
    <t xml:space="preserve">Decide which logs to collect, which threats to detect first, and whether monitoring runs in-house or through an MSSP.</t>
  </si>
  <si>
    <t xml:space="preserve">1. Log sources by criticality and legal retention duty
2. Priority detection use cases based on top risks
3. Operating model: in-house, hybrid, or MSSP; 24 by 7 coverage
4. Escalation from monitoring to incident response
5. Metrics: coverage, mean time to detect, false positive rate</t>
  </si>
  <si>
    <t xml:space="preserve">Chief Information Security Officer (CISO) or Security Manager, IT Infrastructure Manager, Security Operations Center (SOC) Lead, Chief Information Officer (CIO)</t>
  </si>
  <si>
    <t xml:space="preserve">Asset inventory, risk register, logging standard</t>
  </si>
  <si>
    <t xml:space="preserve">Detection engineering is a specialist skill. Most organizations without a security team should buy monitoring as a service and keep oversight in-house.</t>
  </si>
  <si>
    <t xml:space="preserve">PR-STD-011, DE-STD-001, DE-PRC-001, DE-REG-001, DE-GDL-001, DE-PRC-002, DE-REG-002</t>
  </si>
  <si>
    <t xml:space="preserve">ACT-23</t>
  </si>
  <si>
    <t xml:space="preserve">Training Needs Analysis and Awareness Planning</t>
  </si>
  <si>
    <t xml:space="preserve">การวิเคราะห์ความต้องการฝึกอบรมและการวางแผนสร้างความตระหนักรู้</t>
  </si>
  <si>
    <t xml:space="preserve">Identify required knowledge per role and plan awareness and technical training for the year.</t>
  </si>
  <si>
    <t xml:space="preserve">1. Role groups and required topics
2. Delivery channels and frequency
3. Phishing simulation approach and consequence policy
4. Completion targets and reporting</t>
  </si>
  <si>
    <t xml:space="preserve">Chief Information Security Officer (CISO) or Security Manager, Human Resources Director, IT Infrastructure Manager</t>
  </si>
  <si>
    <t xml:space="preserve">RACI, incident history, phishing results</t>
  </si>
  <si>
    <t xml:space="preserve">Short, frequent, role-specific content works better than one long annual session.</t>
  </si>
  <si>
    <t xml:space="preserve">PR-PLN-001, PR-REG-002, PR-REC-002, PR-PRC-004</t>
  </si>
  <si>
    <t xml:space="preserve">ACT-24</t>
  </si>
  <si>
    <t xml:space="preserve">Management Review Meeting</t>
  </si>
  <si>
    <t xml:space="preserve">การประชุมทบทวนของฝ่ายบริหาร</t>
  </si>
  <si>
    <t xml:space="preserve">Have top management review program performance and decide on changes, as required by ISO/IEC 27001:2022 Clause 9.3.</t>
  </si>
  <si>
    <t xml:space="preserve">1. Status of actions from previous reviews
2. Changes in context, risks, and legal duties
3. Metrics, audit results, incidents, and nonconformities
4. Risk treatment status and resource needs
5. Decisions and improvement actions</t>
  </si>
  <si>
    <t xml:space="preserve">Information Security Steering Committee (ISSC), Chief Executive Officer (CEO), Chief Information Officer (CIO), Chief Information Security Officer (CISO) or Security Manager, Head of Internal Audit</t>
  </si>
  <si>
    <t xml:space="preserve">Metrics catalog, audit reports, risk register</t>
  </si>
  <si>
    <t xml:space="preserve">At planned intervals (ISO/IEC 27001:2022 Clause 9.3); common practice is at least annually, quarterly in the first year</t>
  </si>
  <si>
    <t xml:space="preserve">Use the agenda above as the minutes structure so every required input is covered and recorded.</t>
  </si>
  <si>
    <t xml:space="preserve">GV-PRC-006, GV-REC-001</t>
  </si>
  <si>
    <t xml:space="preserve">ACT-25</t>
  </si>
  <si>
    <t xml:space="preserve">Internal Audit Planning and Fieldwork</t>
  </si>
  <si>
    <t xml:space="preserve">การวางแผนและการปฏิบัติงานตรวจสอบภายใน</t>
  </si>
  <si>
    <t xml:space="preserve">Plan and perform independent audits of the security program and report nonconformities.</t>
  </si>
  <si>
    <t xml:space="preserve">1. Risk-based audit universe and annual plan
2. Auditor independence and competence check
3. Fieldwork: interviews, evidence sampling, control testing
4. Findings, root cause, and agreed actions
5. Report to the Audit Committee</t>
  </si>
  <si>
    <t xml:space="preserve">Head of Internal Audit, Audit Committee, Chief Information Security Officer (CISO) or Security Manager</t>
  </si>
  <si>
    <t xml:space="preserve">Policies, risk register, previous findings</t>
  </si>
  <si>
    <t xml:space="preserve">2 to 4 weeks per audit</t>
  </si>
  <si>
    <t xml:space="preserve">Annual program</t>
  </si>
  <si>
    <t xml:space="preserve">If internal audit has no cybersecurity auditor, co-source with an external firm. The security team cannot audit its own work, because ISO/IEC 27001:2022 Clause 9.2 requires auditors who are objective and impartial.</t>
  </si>
  <si>
    <t xml:space="preserve">GV-PRC-007, GV-PLN-002</t>
  </si>
  <si>
    <t xml:space="preserve">ACT-26</t>
  </si>
  <si>
    <t xml:space="preserve">Vulnerability Scanning and Penetration Test Scoping</t>
  </si>
  <si>
    <t xml:space="preserve">การกำหนดขอบเขตการสแกนช่องโหว่และการทดสอบเจาะระบบ</t>
  </si>
  <si>
    <t xml:space="preserve">Agree scanning coverage, remediation timelines, and the scope and rules of engagement for penetration tests.</t>
  </si>
  <si>
    <t xml:space="preserve">1. Asset coverage and scan frequency
2. Remediation timelines by severity
3. Penetration test targets, method, and testing windows
4. Rules of engagement, emergency contacts, and legal authorization
5. Retest and reporting</t>
  </si>
  <si>
    <t xml:space="preserve">Chief Information Security Officer (CISO) or Security Manager, IT Infrastructure Manager, System Owner, Legal Counsel</t>
  </si>
  <si>
    <t xml:space="preserve">Asset inventory, previous test reports</t>
  </si>
  <si>
    <t xml:space="preserve">1 to 2 hours per engagement</t>
  </si>
  <si>
    <t xml:space="preserve">Penetration testing needs experienced testers, preferably certified. Use an external provider and keep a signed authorization, because unauthorized access to a computer system is an offense under the Computer Crime Act.</t>
  </si>
  <si>
    <t xml:space="preserve">ID-STD-002, ID-PRC-002, ID-PRC-003, ID-FRM-002</t>
  </si>
  <si>
    <t xml:space="preserve">ACT-27</t>
  </si>
  <si>
    <t xml:space="preserve">Data Protection Impact Assessment (DPIA) Workshop</t>
  </si>
  <si>
    <t xml:space="preserve">Workshop ประเมินผลกระทบด้านการคุ้มครองข้อมูลส่วนบุคคล (DPIA)</t>
  </si>
  <si>
    <t xml:space="preserve">Assess privacy risk of a new or changed processing activity before it goes live.</t>
  </si>
  <si>
    <t xml:space="preserve">1. Description of processing, purpose, and data flows
2. Necessity and proportionality
3. Risks to data subjects
4. Measures to reduce risk and residual risk decision
5. DPO opinion and sign-off</t>
  </si>
  <si>
    <t xml:space="preserve">Data Protection Officer (DPO), System Owner, Chief Information Security Officer (CISO) or Security Manager, Legal Counsel</t>
  </si>
  <si>
    <t xml:space="preserve">Project description, ROPA entry</t>
  </si>
  <si>
    <t xml:space="preserve">2 hours per project</t>
  </si>
  <si>
    <t xml:space="preserve">Per new high-risk processing</t>
  </si>
  <si>
    <t xml:space="preserve">Trigger DPIAs from the project intake or procurement form; otherwise projects reach go-live without one.</t>
  </si>
  <si>
    <t xml:space="preserve">ACT-28</t>
  </si>
  <si>
    <t xml:space="preserve">Change Advisory Board (CAB) Setup</t>
  </si>
  <si>
    <t xml:space="preserve">การจัดตั้งคณะกรรมการพิจารณาการเปลี่ยนแปลง (CAB)</t>
  </si>
  <si>
    <t xml:space="preserve">Set up a regular forum to approve, schedule, and review changes to production systems.</t>
  </si>
  <si>
    <t xml:space="preserve">1. Change types: standard, normal, emergency
2. Approval authority and CAB membership
3. Risk and security review criteria
4. Freeze periods and post-implementation review</t>
  </si>
  <si>
    <t xml:space="preserve">IT Infrastructure Manager, Chief Information Security Officer (CISO) or Security Manager, System Owner, Head of Application Development</t>
  </si>
  <si>
    <t xml:space="preserve">Current change practice, incident history</t>
  </si>
  <si>
    <t xml:space="preserve">2 hours to set up, then weekly 30 minutes</t>
  </si>
  <si>
    <t xml:space="preserve">Weekly</t>
  </si>
  <si>
    <t xml:space="preserve">IT can set up the CAB. Add a security reviewer for changes that touch firewalls, identity, or internet-facing systems.</t>
  </si>
  <si>
    <t xml:space="preserve">PR-PRC-006, PR-FRM-005, PR-PRC-008</t>
  </si>
  <si>
    <t xml:space="preserve">ACT-29</t>
  </si>
  <si>
    <t xml:space="preserve">Post-Incident and Lessons Learned Review</t>
  </si>
  <si>
    <t xml:space="preserve">การทบทวนหลังเหตุการณ์และบทเรียนที่ได้รับ</t>
  </si>
  <si>
    <t xml:space="preserve">Review an incident or exercise without blame, find root causes, and track improvements.</t>
  </si>
  <si>
    <t xml:space="preserve">1. Timeline reconstruction
2. What worked and what did not
3. Root causes: people, process, technology
4. Improvement actions with owners and due dates
5. Updates needed to plans, playbooks, and the risk register</t>
  </si>
  <si>
    <t xml:space="preserve">Chief Information Security Officer (CISO) or Security Manager, IT Infrastructure Manager, System Owner, Business Continuity Management (BCM) Coordinator</t>
  </si>
  <si>
    <t xml:space="preserve">Incident record, exercise report</t>
  </si>
  <si>
    <t xml:space="preserve">1 to 2 hours</t>
  </si>
  <si>
    <t xml:space="preserve">After each major incident or exercise</t>
  </si>
  <si>
    <t xml:space="preserve">Hold the review within two weeks while memory is fresh, and feed actions into the corrective action register.</t>
  </si>
  <si>
    <t xml:space="preserve">Process Flow</t>
  </si>
  <si>
    <t xml:space="preserve">Step</t>
  </si>
  <si>
    <t xml:space="preserve">Step Label</t>
  </si>
  <si>
    <t xml:space="preserve">Flow Description</t>
  </si>
  <si>
    <t xml:space="preserve">Risk management cycle</t>
  </si>
  <si>
    <t xml:space="preserve">Set appetite</t>
  </si>
  <si>
    <t xml:space="preserve">From appetite to Board reporting: how risk decisions are made and evidenced.</t>
  </si>
  <si>
    <t xml:space="preserve">Set rules</t>
  </si>
  <si>
    <t xml:space="preserve">Define method</t>
  </si>
  <si>
    <t xml:space="preserve">Record risks</t>
  </si>
  <si>
    <t xml:space="preserve">Report assessment</t>
  </si>
  <si>
    <t xml:space="preserve">Plan treatment</t>
  </si>
  <si>
    <t xml:space="preserve">Accept residual risk</t>
  </si>
  <si>
    <t xml:space="preserve">Measure</t>
  </si>
  <si>
    <t xml:space="preserve">Report to Board</t>
  </si>
  <si>
    <t xml:space="preserve">User access lifecycle</t>
  </si>
  <si>
    <t xml:space="preserve">Request, approve, provision, review, and remove access.</t>
  </si>
  <si>
    <t xml:space="preserve">Set authentication</t>
  </si>
  <si>
    <t xml:space="preserve">Manage access</t>
  </si>
  <si>
    <t xml:space="preserve">Request</t>
  </si>
  <si>
    <t xml:space="preserve">Review periodically</t>
  </si>
  <si>
    <t xml:space="preserve">Record review</t>
  </si>
  <si>
    <t xml:space="preserve">Remove at exit</t>
  </si>
  <si>
    <t xml:space="preserve">Privileged and third-party access</t>
  </si>
  <si>
    <t xml:space="preserve">Set PAM rules</t>
  </si>
  <si>
    <t xml:space="preserve">Control the accounts attackers want most.</t>
  </si>
  <si>
    <t xml:space="preserve">Request privilege</t>
  </si>
  <si>
    <t xml:space="preserve">Register accounts</t>
  </si>
  <si>
    <t xml:space="preserve">Set remote access rules</t>
  </si>
  <si>
    <t xml:space="preserve">Request vendor access</t>
  </si>
  <si>
    <t xml:space="preserve">Vulnerability and patch management</t>
  </si>
  <si>
    <t xml:space="preserve">Set timelines</t>
  </si>
  <si>
    <t xml:space="preserve">Find, prioritize, fix, and verify weaknesses.</t>
  </si>
  <si>
    <t xml:space="preserve">Scan and triage</t>
  </si>
  <si>
    <t xml:space="preserve">Penetration test</t>
  </si>
  <si>
    <t xml:space="preserve">Authorize test</t>
  </si>
  <si>
    <t xml:space="preserve">Track remediation</t>
  </si>
  <si>
    <t xml:space="preserve">Patch</t>
  </si>
  <si>
    <t xml:space="preserve">Change and configuration control</t>
  </si>
  <si>
    <t xml:space="preserve">Set baseline</t>
  </si>
  <si>
    <t xml:space="preserve">Keep production changes approved, secure, and traceable.</t>
  </si>
  <si>
    <t xml:space="preserve">Manage change</t>
  </si>
  <si>
    <t xml:space="preserve">Request change</t>
  </si>
  <si>
    <t xml:space="preserve">Manage firewall rules</t>
  </si>
  <si>
    <t xml:space="preserve">Request rule</t>
  </si>
  <si>
    <t xml:space="preserve">Detect, respond, and learn</t>
  </si>
  <si>
    <t xml:space="preserve">Monitor</t>
  </si>
  <si>
    <t xml:space="preserve">From the first alert to closure and improvement.</t>
  </si>
  <si>
    <t xml:space="preserve">Triage</t>
  </si>
  <si>
    <t xml:space="preserve">Classify severity</t>
  </si>
  <si>
    <t xml:space="preserve">Handle</t>
  </si>
  <si>
    <t xml:space="preserve">Apply playbook</t>
  </si>
  <si>
    <t xml:space="preserve">Preserve evidence</t>
  </si>
  <si>
    <t xml:space="preserve">Notify</t>
  </si>
  <si>
    <t xml:space="preserve">Log</t>
  </si>
  <si>
    <t xml:space="preserve">Investigate</t>
  </si>
  <si>
    <t xml:space="preserve">Learn</t>
  </si>
  <si>
    <t xml:space="preserve">Track actions</t>
  </si>
  <si>
    <t xml:space="preserve">Personal data lifecycle</t>
  </si>
  <si>
    <t xml:space="preserve">PDPA duties from mapping to breach notification.</t>
  </si>
  <si>
    <t xml:space="preserve">Map data</t>
  </si>
  <si>
    <t xml:space="preserve">Record processing</t>
  </si>
  <si>
    <t xml:space="preserve">Inform</t>
  </si>
  <si>
    <t xml:space="preserve">Assess impact</t>
  </si>
  <si>
    <t xml:space="preserve">Bind processors</t>
  </si>
  <si>
    <t xml:space="preserve">Handle requests</t>
  </si>
  <si>
    <t xml:space="preserve">Respond to breach</t>
  </si>
  <si>
    <t xml:space="preserve">Notify regulator</t>
  </si>
  <si>
    <t xml:space="preserve">Third-party lifecycle</t>
  </si>
  <si>
    <t xml:space="preserve">Select, contract, monitor, and exit suppliers.</t>
  </si>
  <si>
    <t xml:space="preserve">Tier suppliers</t>
  </si>
  <si>
    <t xml:space="preserve">Manage risk</t>
  </si>
  <si>
    <t xml:space="preserve">Assess</t>
  </si>
  <si>
    <t xml:space="preserve">Contract requirements</t>
  </si>
  <si>
    <t xml:space="preserve">Grant access</t>
  </si>
  <si>
    <t xml:space="preserve">Offboard</t>
  </si>
  <si>
    <t xml:space="preserve">Joiner, mover, leaver</t>
  </si>
  <si>
    <t xml:space="preserve">Screen and set terms</t>
  </si>
  <si>
    <t xml:space="preserve">Security across the employment lifecycle.</t>
  </si>
  <si>
    <t xml:space="preserve">Sign NDA</t>
  </si>
  <si>
    <t xml:space="preserve">Accept AUP</t>
  </si>
  <si>
    <t xml:space="preserve">Request access</t>
  </si>
  <si>
    <t xml:space="preserve">Train</t>
  </si>
  <si>
    <t xml:space="preserve">Record training</t>
  </si>
  <si>
    <t xml:space="preserve">Exit</t>
  </si>
  <si>
    <t xml:space="preserve">Continuity and recovery</t>
  </si>
  <si>
    <t xml:space="preserve">Analyze impact</t>
  </si>
  <si>
    <t xml:space="preserve">From impact analysis to tested recovery.</t>
  </si>
  <si>
    <t xml:space="preserve">Back up</t>
  </si>
  <si>
    <t xml:space="preserve">Restore</t>
  </si>
  <si>
    <t xml:space="preserve">Test restore</t>
  </si>
  <si>
    <t xml:space="preserve">Plan continuity</t>
  </si>
  <si>
    <t xml:space="preserve">Plan IT recovery</t>
  </si>
  <si>
    <t xml:space="preserve">Run recovery</t>
  </si>
  <si>
    <t xml:space="preserve">Exercise</t>
  </si>
  <si>
    <t xml:space="preserve">Report exercise</t>
  </si>
  <si>
    <t xml:space="preserve">Sign off</t>
  </si>
  <si>
    <t xml:space="preserve">Oversight and assurance</t>
  </si>
  <si>
    <t xml:space="preserve">How management and auditors confirm the program works.</t>
  </si>
  <si>
    <t xml:space="preserve">Set audit method</t>
  </si>
  <si>
    <t xml:space="preserve">Plan and run audits</t>
  </si>
  <si>
    <t xml:space="preserve">Report findings</t>
  </si>
  <si>
    <t xml:space="preserve">Correct</t>
  </si>
  <si>
    <t xml:space="preserve">Review</t>
  </si>
  <si>
    <t xml:space="preserve">Record decisions</t>
  </si>
  <si>
    <t xml:space="preserve">Policy lifecycle and exceptions</t>
  </si>
  <si>
    <t xml:space="preserve">Set direction</t>
  </si>
  <si>
    <t xml:space="preserve">Write, approve, publish, and grant controlled exceptions.</t>
  </si>
  <si>
    <t xml:space="preserve">Control documents</t>
  </si>
  <si>
    <t xml:space="preserve">Manage exceptions</t>
  </si>
  <si>
    <t xml:space="preserve">Request exception</t>
  </si>
  <si>
    <t xml:space="preserve">Register exception</t>
  </si>
  <si>
    <t xml:space="preserve">Subcategory</t>
  </si>
  <si>
    <t xml:space="preserve">Outcome (paraphrased)</t>
  </si>
  <si>
    <t xml:space="preserve">Outcome (TH, unofficial)</t>
  </si>
  <si>
    <t xml:space="preserve">Document Count</t>
  </si>
  <si>
    <t xml:space="preserve">T0 and T1 (Direction)</t>
  </si>
  <si>
    <t xml:space="preserve">T2 (Standards)</t>
  </si>
  <si>
    <t xml:space="preserve">T3 (Procedures and Plans)</t>
  </si>
  <si>
    <t xml:space="preserve">T4 (Evidence)</t>
  </si>
  <si>
    <t xml:space="preserve">GV.OC-01</t>
  </si>
  <si>
    <t xml:space="preserve">Organizational Context</t>
  </si>
  <si>
    <t xml:space="preserve">Organizational mission is understood and informs cybersecurity risk management</t>
  </si>
  <si>
    <t xml:space="preserve">เข้าใจพันธกิจขององค์กร และนำมาใช้กำหนดการบริหารความเสี่ยงด้านไซเบอร์</t>
  </si>
  <si>
    <t xml:space="preserve">GV-CHR-001, GV-STR-001</t>
  </si>
  <si>
    <t xml:space="preserve">Internal and external stakeholders and their cybersecurity expectations are understood</t>
  </si>
  <si>
    <t xml:space="preserve">เข้าใจผู้มีส่วนได้ส่วนเสียภายในและภายนอก และความคาดหวังด้านไซเบอร์ของแต่ละฝ่าย</t>
  </si>
  <si>
    <t xml:space="preserve">Legal, regulatory, and contractual cybersecurity requirements are understood and managed</t>
  </si>
  <si>
    <t xml:space="preserve">เข้าใจและบริหารข้อกำหนดด้านไซเบอร์ตามกฎหมาย กฎระเบียบ และสัญญา</t>
  </si>
  <si>
    <t xml:space="preserve">GV-POL-005, GV-POL-004</t>
  </si>
  <si>
    <t xml:space="preserve">GV-PRC-004, GV-PRC-005</t>
  </si>
  <si>
    <t xml:space="preserve">GV-REG-001, GV-REG-006, GV-REG-007, GV-TPL-002, GV-FRM-005, GV-TPL-004</t>
  </si>
  <si>
    <t xml:space="preserve">GV.OC-04</t>
  </si>
  <si>
    <t xml:space="preserve">Critical objectives, capabilities, and services that external stakeholders depend on are understood</t>
  </si>
  <si>
    <t xml:space="preserve">เข้าใจวัตถุประสงค์ ขีดความสามารถ และบริการสำคัญที่ผู้มีส่วนได้ส่วนเสียภายนอกพึ่งพา</t>
  </si>
  <si>
    <t xml:space="preserve">GV-RPT-001, ID-RPT-002</t>
  </si>
  <si>
    <t xml:space="preserve">GV.OC-05</t>
  </si>
  <si>
    <t xml:space="preserve">Outcomes, capabilities, and services that the organization depends on are understood</t>
  </si>
  <si>
    <t xml:space="preserve">เข้าใจผลลัพธ์ ขีดความสามารถ และบริการที่องค์กรต้องพึ่งพา</t>
  </si>
  <si>
    <t xml:space="preserve">GV.RM-01</t>
  </si>
  <si>
    <t xml:space="preserve">Risk Management Strategy</t>
  </si>
  <si>
    <t xml:space="preserve">Risk management objectives are established and agreed to by stakeholders</t>
  </si>
  <si>
    <t xml:space="preserve">กำหนดวัตถุประสงค์การบริหารความเสี่ยง และได้รับความเห็นชอบจากผู้มีส่วนได้ส่วนเสีย</t>
  </si>
  <si>
    <t xml:space="preserve">GV-STR-001, GV-STM-001, GV-POL-002</t>
  </si>
  <si>
    <t xml:space="preserve">GV.RM-02</t>
  </si>
  <si>
    <t xml:space="preserve">Risk appetite and risk tolerance statements are established, communicated, and maintained</t>
  </si>
  <si>
    <t xml:space="preserve">กำหนด สื่อสาร และดูแลเอกสารระดับความเสี่ยงที่ยอมรับได้และค่าความเบี่ยงเบนที่ยอมรับได้</t>
  </si>
  <si>
    <t xml:space="preserve">GV.RM-03</t>
  </si>
  <si>
    <t xml:space="preserve">Cybersecurity risk management is included in enterprise risk management processes</t>
  </si>
  <si>
    <t xml:space="preserve">รวมการบริหารความเสี่ยงด้านไซเบอร์ไว้ในกระบวนการบริหารความเสี่ยงองค์กร</t>
  </si>
  <si>
    <t xml:space="preserve">GV-STM-001, GV-POL-002</t>
  </si>
  <si>
    <t xml:space="preserve">GV.RM-04</t>
  </si>
  <si>
    <t xml:space="preserve">Strategic direction for appropriate risk response options is established and communicated</t>
  </si>
  <si>
    <t xml:space="preserve">กำหนดและสื่อสารทิศทางเชิงกลยุทธ์สำหรับทางเลือกในการจัดการความเสี่ยงที่เหมาะสม</t>
  </si>
  <si>
    <t xml:space="preserve">GV.RM-05</t>
  </si>
  <si>
    <t xml:space="preserve">Lines of communication for cybersecurity risks, including supplier risks, are established</t>
  </si>
  <si>
    <t xml:space="preserve">กำหนดช่องทางการสื่อสารความเสี่ยงด้านไซเบอร์ รวมถึงความเสี่ยงจากผู้ให้บริการ</t>
  </si>
  <si>
    <t xml:space="preserve">GV.RM-06</t>
  </si>
  <si>
    <t xml:space="preserve">A standardized method for calculating, documenting, categorizing, and prioritizing risks is established</t>
  </si>
  <si>
    <t xml:space="preserve">กำหนดวิธีมาตรฐานในการคำนวณ บันทึก จัดหมวดหมู่ และจัดลำดับความสำคัญของความเสี่ยง</t>
  </si>
  <si>
    <t xml:space="preserve">GV-REG-005, ID-REG-005</t>
  </si>
  <si>
    <t xml:space="preserve">GV.RM-07</t>
  </si>
  <si>
    <t xml:space="preserve">Strategic opportunities (positive risks) are characterized and included in discussions</t>
  </si>
  <si>
    <t xml:space="preserve">ระบุลักษณะของโอกาสเชิงกลยุทธ์ (ความเสี่ยงเชิงบวก) และนำเข้าสู่การพิจารณา</t>
  </si>
  <si>
    <t xml:space="preserve">GV.RR-01</t>
  </si>
  <si>
    <t xml:space="preserve">Roles, Responsibilities, and Authorities</t>
  </si>
  <si>
    <t xml:space="preserve">Leadership is responsible and accountable for cybersecurity risk and fosters a risk-aware culture</t>
  </si>
  <si>
    <t xml:space="preserve">ผู้นำองค์กรรับผิดชอบต่อความเสี่ยงด้านไซเบอร์ และส่งเสริมวัฒนธรรมที่ตระหนักถึงความเสี่ยง</t>
  </si>
  <si>
    <t xml:space="preserve">GV-CHR-001, GV-CHR-002</t>
  </si>
  <si>
    <t xml:space="preserve">GV.RR-02</t>
  </si>
  <si>
    <t xml:space="preserve">Cybersecurity roles, responsibilities, and authorities are established, communicated, and enforced</t>
  </si>
  <si>
    <t xml:space="preserve">กำหนด สื่อสาร และบังคับใช้บทบาท ความรับผิดชอบ และอำนาจหน้าที่ด้านไซเบอร์</t>
  </si>
  <si>
    <t xml:space="preserve">GV-REG-003, GV-TPL-001</t>
  </si>
  <si>
    <t xml:space="preserve">Adequate resources are allocated commensurate with risk strategy, roles, and policies</t>
  </si>
  <si>
    <t xml:space="preserve">จัดสรรทรัพยากรอย่างเพียงพอและสอดคล้องกับกลยุทธ์ความเสี่ยง บทบาท และนโยบาย</t>
  </si>
  <si>
    <t xml:space="preserve">GV.RR-04</t>
  </si>
  <si>
    <t xml:space="preserve">Cybersecurity is included in human resources practices</t>
  </si>
  <si>
    <t xml:space="preserve">รวมเรื่องความมั่นคงปลอดภัยไซเบอร์ไว้ในการบริหารทรัพยากรบุคคล</t>
  </si>
  <si>
    <t xml:space="preserve">GV-TPL-001, GV-FRM-002, GV-FRM-003, PR-REG-002</t>
  </si>
  <si>
    <t xml:space="preserve">GV.PO-01</t>
  </si>
  <si>
    <t xml:space="preserve">Cybersecurity policy is established, communicated, and enforced based on context, strategy, and priorities</t>
  </si>
  <si>
    <t xml:space="preserve">กำหนด สื่อสาร และบังคับใช้นโยบายด้านไซเบอร์ตามบริบท กลยุทธ์ และลำดับความสำคัญ</t>
  </si>
  <si>
    <t xml:space="preserve">GV-POL-001, GV-POL-003, GV-POL-005, GV-POL-004</t>
  </si>
  <si>
    <t xml:space="preserve">GV-REG-005, GV-REG-006</t>
  </si>
  <si>
    <t xml:space="preserve">Cybersecurity policy is reviewed, updated, communicated, and enforced to reflect changes</t>
  </si>
  <si>
    <t xml:space="preserve">ทบทวน ปรับปรุง สื่อสาร และบังคับใช้นโยบายด้านไซเบอร์ให้สอดคล้องกับการเปลี่ยนแปลง</t>
  </si>
  <si>
    <t xml:space="preserve">GV-PRC-002, GV-PRC-003</t>
  </si>
  <si>
    <t xml:space="preserve">GV.OV-01</t>
  </si>
  <si>
    <t xml:space="preserve">Oversight</t>
  </si>
  <si>
    <t xml:space="preserve">Risk management strategy outcomes are reviewed to inform and adjust strategy and direction</t>
  </si>
  <si>
    <t xml:space="preserve">ทบทวนผลลัพธ์ของกลยุทธ์การบริหารความเสี่ยง เพื่อใช้ปรับกลยุทธ์และทิศทาง</t>
  </si>
  <si>
    <t xml:space="preserve">GV-CHR-001, GV-STR-001, GV-CHR-002</t>
  </si>
  <si>
    <t xml:space="preserve">GV-REC-001, GV-TPL-005</t>
  </si>
  <si>
    <t xml:space="preserve">Risk management strategy is reviewed and adjusted to ensure coverage of requirements and risks</t>
  </si>
  <si>
    <t xml:space="preserve">ทบทวนและปรับกลยุทธ์การบริหารความเสี่ยงให้ครอบคลุมข้อกำหนดและความเสี่ยง</t>
  </si>
  <si>
    <t xml:space="preserve">GV-PRC-006, GV-PRC-007, GV-PLN-002</t>
  </si>
  <si>
    <t xml:space="preserve">GV-REG-004, GV-REC-001, GV-TPL-006</t>
  </si>
  <si>
    <t xml:space="preserve">GV.OV-03</t>
  </si>
  <si>
    <t xml:space="preserve">Risk management performance is evaluated and reviewed for adjustments needed</t>
  </si>
  <si>
    <t xml:space="preserve">ประเมินและทบทวนผลการดำเนินงานด้านการบริหารความเสี่ยง เพื่อปรับปรุงตามความจำเป็น</t>
  </si>
  <si>
    <t xml:space="preserve">GV-REG-008, GV-TPL-005</t>
  </si>
  <si>
    <t xml:space="preserve">GV.SC-01</t>
  </si>
  <si>
    <t xml:space="preserve">Cybersecurity Supply Chain Risk Management</t>
  </si>
  <si>
    <t xml:space="preserve">A cybersecurity supply chain risk management program, strategy, objectives, policies, and processes are established</t>
  </si>
  <si>
    <t xml:space="preserve">กำหนดแผนงาน กลยุทธ์ วัตถุประสงค์ นโยบาย และกระบวนการบริหารความเสี่ยงห่วงโซ่อุปทานด้านไซเบอร์</t>
  </si>
  <si>
    <t xml:space="preserve">GV.SC-02</t>
  </si>
  <si>
    <t xml:space="preserve">Cybersecurity roles for suppliers, customers, and partners are established and coordinated</t>
  </si>
  <si>
    <t xml:space="preserve">กำหนดและประสานบทบาทด้านไซเบอร์ของผู้ให้บริการ ลูกค้า และคู่ค้า</t>
  </si>
  <si>
    <t xml:space="preserve">GV.SC-03</t>
  </si>
  <si>
    <t xml:space="preserve">Supply chain risk management is integrated into cybersecurity and enterprise risk management</t>
  </si>
  <si>
    <t xml:space="preserve">บูรณาการการบริหารความเสี่ยงห่วงโซ่อุปทานเข้ากับการบริหารความเสี่ยงด้านไซเบอร์และความเสี่ยงองค์กร</t>
  </si>
  <si>
    <t xml:space="preserve">GV-POL-002, GV-POL-006</t>
  </si>
  <si>
    <t xml:space="preserve">GV.SC-04</t>
  </si>
  <si>
    <t xml:space="preserve">Suppliers are known and prioritized by criticality</t>
  </si>
  <si>
    <t xml:space="preserve">รู้จักผู้ให้บริการทั้งหมดและจัดลำดับตามความสำคัญ</t>
  </si>
  <si>
    <t xml:space="preserve">GV.SC-05</t>
  </si>
  <si>
    <t xml:space="preserve">Requirements to address supply chain risks are established, prioritized, and integrated into contracts</t>
  </si>
  <si>
    <t xml:space="preserve">กำหนดข้อกำหนดเพื่อจัดการความเสี่ยงห่วงโซ่อุปทาน จัดลำดับความสำคัญ และใส่ไว้ในสัญญา</t>
  </si>
  <si>
    <t xml:space="preserve">GV-STD-002, PR-STD-014</t>
  </si>
  <si>
    <t xml:space="preserve">GV-FRM-002, GV-TPL-004</t>
  </si>
  <si>
    <t xml:space="preserve">GV.SC-06</t>
  </si>
  <si>
    <t xml:space="preserve">Planning and due diligence are performed to reduce risks before entering supplier relationships</t>
  </si>
  <si>
    <t xml:space="preserve">วางแผนและตรวจสอบรายละเอียดเพื่อลดความเสี่ยงก่อนเริ่มความสัมพันธ์กับผู้ให้บริการ</t>
  </si>
  <si>
    <t xml:space="preserve">GV.SC-07</t>
  </si>
  <si>
    <t xml:space="preserve">Supplier risks are understood, recorded, prioritized, assessed, responded to, and monitored</t>
  </si>
  <si>
    <t xml:space="preserve">เข้าใจ บันทึก จัดลำดับ ประเมิน จัดการ และติดตามความเสี่ยงจากผู้ให้บริการ</t>
  </si>
  <si>
    <t xml:space="preserve">GV-FRM-006, PR-FRM-003</t>
  </si>
  <si>
    <t xml:space="preserve">GV.SC-08</t>
  </si>
  <si>
    <t xml:space="preserve">Relevant suppliers are included in incident planning, response, and recovery activities</t>
  </si>
  <si>
    <t xml:space="preserve">ให้ผู้ให้บริการที่เกี่ยวข้องมีส่วนในการวางแผน ตอบสนอง และกู้คืนจากเหตุการณ์</t>
  </si>
  <si>
    <t xml:space="preserve">GV.SC-09</t>
  </si>
  <si>
    <t xml:space="preserve">Supply chain security practices are integrated and monitored throughout the technology product and service life cycle</t>
  </si>
  <si>
    <t xml:space="preserve">บูรณาการและติดตามแนวปฏิบัติด้านความมั่นคงปลอดภัยของห่วงโซ่อุปทานตลอดวงจรชีวิตของผลิตภัณฑ์และบริการเทคโนโลยี</t>
  </si>
  <si>
    <t xml:space="preserve">Supply chain risk management plans include provisions for activities after a partnership or service ends</t>
  </si>
  <si>
    <t xml:space="preserve">แผนบริหารความเสี่ยงห่วงโซ่อุปทานครอบคลุมกิจกรรมหลังสิ้นสุดความร่วมมือหรือบริการ</t>
  </si>
  <si>
    <t xml:space="preserve">ID.AM-01</t>
  </si>
  <si>
    <t xml:space="preserve">Asset Management</t>
  </si>
  <si>
    <t xml:space="preserve">Inventories of hardware managed by the organization are maintained</t>
  </si>
  <si>
    <t xml:space="preserve">ดูแลทะเบียนฮาร์ดแวร์ที่องค์กรบริหารจัดการ</t>
  </si>
  <si>
    <t xml:space="preserve">ID-REG-001, ID-REG-004</t>
  </si>
  <si>
    <t xml:space="preserve">ID.AM-02</t>
  </si>
  <si>
    <t xml:space="preserve">Inventories of software, services, and systems managed by the organization are maintained</t>
  </si>
  <si>
    <t xml:space="preserve">ดูแลทะเบียนซอฟต์แวร์ บริการ และระบบที่องค์กรบริหารจัดการ</t>
  </si>
  <si>
    <t xml:space="preserve">ID-REG-002, ID-REG-004, PR-REG-003</t>
  </si>
  <si>
    <t xml:space="preserve">ID.AM-03</t>
  </si>
  <si>
    <t xml:space="preserve">Representations of authorized network communication and data flows are maintained</t>
  </si>
  <si>
    <t xml:space="preserve">ดูแลแผนภาพการสื่อสารผ่านเครือข่ายและการไหลของข้อมูลที่ได้รับอนุญาต</t>
  </si>
  <si>
    <t xml:space="preserve">ID-REG-003, ID-RPT-001</t>
  </si>
  <si>
    <t xml:space="preserve">ID.AM-04</t>
  </si>
  <si>
    <t xml:space="preserve">Inventories of services provided by suppliers are maintained</t>
  </si>
  <si>
    <t xml:space="preserve">ดูแลทะเบียนบริการที่ได้รับจากผู้ให้บริการ</t>
  </si>
  <si>
    <t xml:space="preserve">GV-REG-009, ID-REG-002</t>
  </si>
  <si>
    <t xml:space="preserve">ID.AM-05</t>
  </si>
  <si>
    <t xml:space="preserve">Assets are prioritized based on classification, criticality, resources, and impact on the mission</t>
  </si>
  <si>
    <t xml:space="preserve">จัดลำดับความสำคัญของทรัพย์สินตามชั้นข้อมูล ความสำคัญ ทรัพยากร และผลกระทบต่อพันธกิจ</t>
  </si>
  <si>
    <t xml:space="preserve">ID-REG-001, ID-REG-002, ID-REG-004, ID-RPT-002</t>
  </si>
  <si>
    <t xml:space="preserve">ID.AM-07</t>
  </si>
  <si>
    <t xml:space="preserve">Inventories of data and corresponding metadata for designated data types are maintained</t>
  </si>
  <si>
    <t xml:space="preserve">ดูแลทะเบียนข้อมูลและ metadata ของประเภทข้อมูลที่กำหนด</t>
  </si>
  <si>
    <t xml:space="preserve">GV-REG-007, ID-REG-003</t>
  </si>
  <si>
    <t xml:space="preserve">ID.AM-08</t>
  </si>
  <si>
    <t xml:space="preserve">Systems, hardware, software, services, and data are managed throughout their life cycles</t>
  </si>
  <si>
    <t xml:space="preserve">บริหารระบบ ฮาร์ดแวร์ ซอฟต์แวร์ บริการ และข้อมูลตลอดวงจรชีวิต</t>
  </si>
  <si>
    <t xml:space="preserve">ID-STD-001, PR-STD-007</t>
  </si>
  <si>
    <t xml:space="preserve">GV-FRM-003, ID-FRM-001</t>
  </si>
  <si>
    <t xml:space="preserve">Risk Assessment</t>
  </si>
  <si>
    <t xml:space="preserve">Vulnerabilities in assets are identified, validated, and recorded</t>
  </si>
  <si>
    <t xml:space="preserve">ระบุ ยืนยัน และบันทึกช่องโหว่ของทรัพย์สิน</t>
  </si>
  <si>
    <t xml:space="preserve">ID-REG-006, ID-FRM-002</t>
  </si>
  <si>
    <t xml:space="preserve">ID.RA-02</t>
  </si>
  <si>
    <t xml:space="preserve">Cyber threat intelligence is received from information sharing forums and sources</t>
  </si>
  <si>
    <t xml:space="preserve">รับข้อมูลข่าวกรองภัยคุกคามไซเบอร์จากเวทีและแหล่งแลกเปลี่ยนข้อมูล</t>
  </si>
  <si>
    <t xml:space="preserve">ID.RA-03</t>
  </si>
  <si>
    <t xml:space="preserve">Internal and external threats to the organization are identified and recorded</t>
  </si>
  <si>
    <t xml:space="preserve">ระบุและบันทึกภัยคุกคามจากภายในและภายนอกองค์กร</t>
  </si>
  <si>
    <t xml:space="preserve">GV-PRC-001, ID-PRC-004</t>
  </si>
  <si>
    <t xml:space="preserve">Potential impacts and likelihoods of threats exploiting vulnerabilities are identified and recorded</t>
  </si>
  <si>
    <t xml:space="preserve">ระบุและบันทึกผลกระทบและโอกาสที่ภัยคุกคามจะใช้ประโยชน์จากช่องโหว่</t>
  </si>
  <si>
    <t xml:space="preserve">GV-PRC-001, GV-PRC-004</t>
  </si>
  <si>
    <t xml:space="preserve">GV-TPL-003, ID-REG-005, ID-RPT-003</t>
  </si>
  <si>
    <t xml:space="preserve">ID.RA-05</t>
  </si>
  <si>
    <t xml:space="preserve">Threats, vulnerabilities, likelihoods, and impacts are used to understand inherent risk and inform prioritization</t>
  </si>
  <si>
    <t xml:space="preserve">ใช้ข้อมูลภัยคุกคาม ช่องโหว่ โอกาส และผลกระทบ เพื่อเข้าใจความเสี่ยงตั้งต้นและจัดลำดับความสำคัญ</t>
  </si>
  <si>
    <t xml:space="preserve">ID-REG-005, ID-RPT-003</t>
  </si>
  <si>
    <t xml:space="preserve">Risk responses are chosen, prioritized, planned, tracked, and communicated</t>
  </si>
  <si>
    <t xml:space="preserve">เลือก จัดลำดับ วางแผน ติดตาม และสื่อสารการจัดการความเสี่ยง</t>
  </si>
  <si>
    <t xml:space="preserve">GV-PRC-001, ID-PLN-001</t>
  </si>
  <si>
    <t xml:space="preserve">GV-FRM-001, ID-REG-005, ID-REG-006</t>
  </si>
  <si>
    <t xml:space="preserve">Changes and exceptions are managed, assessed for risk impact, recorded, and tracked</t>
  </si>
  <si>
    <t xml:space="preserve">บริหาร ประเมินผลกระทบด้านความเสี่ยง บันทึก และติดตามการเปลี่ยนแปลงและข้อยกเว้น</t>
  </si>
  <si>
    <t xml:space="preserve">GV-PRC-003, PR-PRC-006</t>
  </si>
  <si>
    <t xml:space="preserve">GV-FRM-004, GV-REG-004, PR-FRM-005</t>
  </si>
  <si>
    <t xml:space="preserve">Processes for receiving, analyzing, and responding to vulnerability disclosures are established</t>
  </si>
  <si>
    <t xml:space="preserve">กำหนดกระบวนการรับ วิเคราะห์ และตอบสนองต่อการแจ้งช่องโหว่</t>
  </si>
  <si>
    <t xml:space="preserve">ID-PRC-002, ID-PRC-005</t>
  </si>
  <si>
    <t xml:space="preserve">ID.RA-09</t>
  </si>
  <si>
    <t xml:space="preserve">The authenticity and integrity of hardware and software are assessed prior to acquisition and use</t>
  </si>
  <si>
    <t xml:space="preserve">ประเมินความถูกต้องแท้จริงและความครบถ้วนของฮาร์ดแวร์และซอฟต์แวร์ก่อนจัดหาและใช้งาน</t>
  </si>
  <si>
    <t xml:space="preserve">ID.RA-10</t>
  </si>
  <si>
    <t xml:space="preserve">Critical suppliers are assessed prior to acquisition</t>
  </si>
  <si>
    <t xml:space="preserve">ประเมินผู้ให้บริการสำคัญก่อนการจัดหา</t>
  </si>
  <si>
    <t xml:space="preserve">ID.IM-01</t>
  </si>
  <si>
    <t xml:space="preserve">Improvement</t>
  </si>
  <si>
    <t xml:space="preserve">Improvements are identified from evaluations</t>
  </si>
  <si>
    <t xml:space="preserve">ระบุสิ่งที่ต้องปรับปรุงจากการประเมิน</t>
  </si>
  <si>
    <t xml:space="preserve">GV-PRC-007, ID-PRC-006</t>
  </si>
  <si>
    <t xml:space="preserve">GV-REG-008, GV-TPL-006, ID-REG-007</t>
  </si>
  <si>
    <t xml:space="preserve">ID.IM-02</t>
  </si>
  <si>
    <t xml:space="preserve">Improvements are identified from security tests and exercises</t>
  </si>
  <si>
    <t xml:space="preserve">ระบุสิ่งที่ต้องปรับปรุงจากการทดสอบและการฝึกซ้อมด้านความมั่นคงปลอดภัย</t>
  </si>
  <si>
    <t xml:space="preserve">ID-PRC-003, ID-PRC-006, ID-PLN-002</t>
  </si>
  <si>
    <t xml:space="preserve">ID-REG-007, RC-REC-001</t>
  </si>
  <si>
    <t xml:space="preserve">ID.IM-03</t>
  </si>
  <si>
    <t xml:space="preserve">Improvements are identified from execution of operational processes, procedures, and activities</t>
  </si>
  <si>
    <t xml:space="preserve">ระบุสิ่งที่ต้องปรับปรุงจากการปฏิบัติตามกระบวนการ ระเบียบปฏิบัติ และกิจกรรมต่าง ๆ</t>
  </si>
  <si>
    <t xml:space="preserve">ID.IM-04</t>
  </si>
  <si>
    <t xml:space="preserve">Incident response plans and other cybersecurity plans that affect operations are established, communicated, maintained, and improved</t>
  </si>
  <si>
    <t xml:space="preserve">จัดทำ สื่อสาร ดูแล และปรับปรุงแผนรับมือเหตุการณ์และแผนด้านไซเบอร์อื่นที่กระทบการปฏิบัติงาน</t>
  </si>
  <si>
    <t xml:space="preserve">ID-PRC-006, ID-PLN-002, RS-PLN-001</t>
  </si>
  <si>
    <t xml:space="preserve">PR.AA-01</t>
  </si>
  <si>
    <t xml:space="preserve">Identity Management, Authentication, and Access Control</t>
  </si>
  <si>
    <t xml:space="preserve">Identities and credentials for authorized users, services, and hardware are managed</t>
  </si>
  <si>
    <t xml:space="preserve">บริหารตัวตนและข้อมูลยืนยันตัวตนของผู้ใช้ บริการ และฮาร์ดแวร์ที่ได้รับอนุญาต</t>
  </si>
  <si>
    <t xml:space="preserve">PR-STD-001, PR-STD-002</t>
  </si>
  <si>
    <t xml:space="preserve">PR-FRM-001, PR-REG-001</t>
  </si>
  <si>
    <t xml:space="preserve">PR.AA-02</t>
  </si>
  <si>
    <t xml:space="preserve">Identities are proofed and bound to credentials based on the context of interactions</t>
  </si>
  <si>
    <t xml:space="preserve">พิสูจน์ตัวตนและผูกตัวตนกับข้อมูลยืนยันตัวตนตามบริบทของการใช้งาน</t>
  </si>
  <si>
    <t xml:space="preserve">PR.AA-03</t>
  </si>
  <si>
    <t xml:space="preserve">Users, services, and hardware are authenticated</t>
  </si>
  <si>
    <t xml:space="preserve">ยืนยันตัวตนของผู้ใช้ บริการ และฮาร์ดแวร์</t>
  </si>
  <si>
    <t xml:space="preserve">PR-STD-001, PR-STD-003, PR-STD-009</t>
  </si>
  <si>
    <t xml:space="preserve">PR.AA-04</t>
  </si>
  <si>
    <t xml:space="preserve">Identity assertions are protected, conveyed, and verified</t>
  </si>
  <si>
    <t xml:space="preserve">ปกป้อง ส่งต่อ และตรวจสอบการยืนยันตัวตน (identity assertion)</t>
  </si>
  <si>
    <t xml:space="preserve">Access permissions, entitlements, and authorizations are defined, managed, enforced, and reviewed</t>
  </si>
  <si>
    <t xml:space="preserve">กำหนด บริหาร บังคับใช้ และทบทวนสิทธิ์การเข้าถึงและการอนุญาต</t>
  </si>
  <si>
    <t xml:space="preserve">GV-STD-001, PR-STD-002, PR-STD-003, PR-STD-014</t>
  </si>
  <si>
    <t xml:space="preserve">GV-FRM-003, PR-FRM-001, PR-FRM-002, PR-FRM-003, PR-REC-001, PR-REG-001</t>
  </si>
  <si>
    <t xml:space="preserve">Physical access to assets is managed, monitored, and enforced commensurate with risk</t>
  </si>
  <si>
    <t xml:space="preserve">บริหาร เฝ้าระวัง และบังคับใช้การเข้าถึงทางกายภาพตามระดับความเสี่ยง</t>
  </si>
  <si>
    <t xml:space="preserve">Awareness and Training</t>
  </si>
  <si>
    <t xml:space="preserve">Personnel are provided with awareness and training for general tasks with cybersecurity risks in mind</t>
  </si>
  <si>
    <t xml:space="preserve">จัดให้บุคลากรได้รับการสร้างความตระหนักรู้และการฝึกอบรมสำหรับงานทั่วไปโดยคำนึงถึงความเสี่ยงด้านไซเบอร์</t>
  </si>
  <si>
    <t xml:space="preserve">PR-PLN-001, PR-PRC-004</t>
  </si>
  <si>
    <t xml:space="preserve">PR.AT-02</t>
  </si>
  <si>
    <t xml:space="preserve">Individuals in specialized roles are provided with awareness and training for those roles</t>
  </si>
  <si>
    <t xml:space="preserve">จัดให้ผู้ที่อยู่ในบทบาทเฉพาะทางได้รับการสร้างความตระหนักรู้และการฝึกอบรมสำหรับบทบาทนั้น</t>
  </si>
  <si>
    <t xml:space="preserve">PR-REG-002, PR-REC-002</t>
  </si>
  <si>
    <t xml:space="preserve">PR.DS-01</t>
  </si>
  <si>
    <t xml:space="preserve">Data Security</t>
  </si>
  <si>
    <t xml:space="preserve">The confidentiality, integrity, and availability of data-at-rest are protected</t>
  </si>
  <si>
    <t xml:space="preserve">ปกป้องความลับ ความถูกต้องครบถ้วน และความพร้อมใช้งานของข้อมูลที่จัดเก็บ</t>
  </si>
  <si>
    <t xml:space="preserve">PR-STD-004, PR-STD-005, PR-STD-007, PR-STD-008, PR-STD-009</t>
  </si>
  <si>
    <t xml:space="preserve">PR.DS-02</t>
  </si>
  <si>
    <t xml:space="preserve">The confidentiality, integrity, and availability of data-in-transit are protected</t>
  </si>
  <si>
    <t xml:space="preserve">ปกป้องความลับ ความถูกต้องครบถ้วน และความพร้อมใช้งานของข้อมูลระหว่างการรับส่ง</t>
  </si>
  <si>
    <t xml:space="preserve">PR-STD-004, PR-STD-005, PR-STD-008</t>
  </si>
  <si>
    <t xml:space="preserve">PR.DS-10</t>
  </si>
  <si>
    <t xml:space="preserve">The confidentiality, integrity, and availability of data-in-use are protected</t>
  </si>
  <si>
    <t xml:space="preserve">ปกป้องความลับ ความถูกต้องครบถ้วน และความพร้อมใช้งานของข้อมูลระหว่างการใช้งาน</t>
  </si>
  <si>
    <t xml:space="preserve">GV-POL-005, PR-POL-003</t>
  </si>
  <si>
    <t xml:space="preserve">PR-STD-004, PR-STD-008</t>
  </si>
  <si>
    <t xml:space="preserve">Backups of data are created, protected, maintained, and tested</t>
  </si>
  <si>
    <t xml:space="preserve">สร้าง ปกป้อง ดูแล และทดสอบข้อมูลสำรอง</t>
  </si>
  <si>
    <t xml:space="preserve">Platform Security</t>
  </si>
  <si>
    <t xml:space="preserve">Configuration management practices are established and applied</t>
  </si>
  <si>
    <t xml:space="preserve">กำหนดและใช้แนวปฏิบัติการบริหารการตั้งค่า</t>
  </si>
  <si>
    <t xml:space="preserve">PR-STD-009, PR-STD-010, PR-STD-014, PR-STD-015</t>
  </si>
  <si>
    <t xml:space="preserve">PR.PS-02</t>
  </si>
  <si>
    <t xml:space="preserve">Software is maintained, replaced, and removed commensurate with risk</t>
  </si>
  <si>
    <t xml:space="preserve">ดูแล เปลี่ยน และถอดถอนซอฟต์แวร์ตามระดับความเสี่ยง</t>
  </si>
  <si>
    <t xml:space="preserve">ID-STD-002, PR-STD-015</t>
  </si>
  <si>
    <t xml:space="preserve">ID-PRC-002, PR-PRC-007</t>
  </si>
  <si>
    <t xml:space="preserve">PR.PS-03</t>
  </si>
  <si>
    <t xml:space="preserve">Hardware is maintained, replaced, and removed commensurate with risk</t>
  </si>
  <si>
    <t xml:space="preserve">ดูแล เปลี่ยน และถอดถอนฮาร์ดแวร์ตามระดับความเสี่ยง</t>
  </si>
  <si>
    <t xml:space="preserve">ID-PRC-001, PR-PRC-007</t>
  </si>
  <si>
    <t xml:space="preserve">PR.PS-04</t>
  </si>
  <si>
    <t xml:space="preserve">Log records are generated and made available for continuous monitoring</t>
  </si>
  <si>
    <t xml:space="preserve">สร้างบันทึก log และจัดให้พร้อมใช้สำหรับการเฝ้าระวังอย่างต่อเนื่อง</t>
  </si>
  <si>
    <t xml:space="preserve">PR.PS-05</t>
  </si>
  <si>
    <t xml:space="preserve">Installation and execution of unauthorized software are prevented</t>
  </si>
  <si>
    <t xml:space="preserve">ป้องกันการติดตั้งและการเรียกใช้ซอฟต์แวร์ที่ไม่ได้รับอนุญาต</t>
  </si>
  <si>
    <t xml:space="preserve">Secure software development practices are integrated and their performance is monitored</t>
  </si>
  <si>
    <t xml:space="preserve">บูรณาการแนวปฏิบัติการพัฒนาซอฟต์แวร์อย่างปลอดภัย และติดตามผลการดำเนินงาน</t>
  </si>
  <si>
    <t xml:space="preserve">Technology Infrastructure Resilience</t>
  </si>
  <si>
    <t xml:space="preserve">Networks and environments are protected from unauthorized logical access and usage</t>
  </si>
  <si>
    <t xml:space="preserve">ปกป้องเครือข่ายและสภาพแวดล้อมจากการเข้าถึงและการใช้งานทางตรรกะโดยไม่ได้รับอนุญาต</t>
  </si>
  <si>
    <t xml:space="preserve">PR-STD-003, PR-STD-014, PR-STD-015, PR-STD-016</t>
  </si>
  <si>
    <t xml:space="preserve">ID-RPT-001, PR-FRM-006</t>
  </si>
  <si>
    <t xml:space="preserve">PR.IR-02</t>
  </si>
  <si>
    <t xml:space="preserve">Technology assets are protected from environmental threats</t>
  </si>
  <si>
    <t xml:space="preserve">ปกป้องทรัพย์สินเทคโนโลยีจากภัยคุกคามด้านสภาพแวดล้อม</t>
  </si>
  <si>
    <t xml:space="preserve">PR.IR-03</t>
  </si>
  <si>
    <t xml:space="preserve">Mechanisms are implemented to achieve resilience requirements in normal and adverse situations</t>
  </si>
  <si>
    <t xml:space="preserve">จัดให้มีกลไกที่ทำให้บรรลุข้อกำหนดด้านความยืดหยุ่นทั้งในสถานการณ์ปกติและไม่ปกติ</t>
  </si>
  <si>
    <t xml:space="preserve">PR.IR-04</t>
  </si>
  <si>
    <t xml:space="preserve">Adequate resource capacity to ensure availability is maintained</t>
  </si>
  <si>
    <t xml:space="preserve">ดูแลให้มีขีดความสามารถของทรัพยากรเพียงพอต่อความพร้อมใช้งาน</t>
  </si>
  <si>
    <t xml:space="preserve">DE.CM-01</t>
  </si>
  <si>
    <t xml:space="preserve">Continuous Monitoring</t>
  </si>
  <si>
    <t xml:space="preserve">Networks and network services are monitored to find potentially adverse events</t>
  </si>
  <si>
    <t xml:space="preserve">เฝ้าระวังเครือข่ายและบริการเครือข่ายเพื่อค้นหาเหตุการณ์ที่อาจไม่พึงประสงค์</t>
  </si>
  <si>
    <t xml:space="preserve">PR-STD-011, DE-STD-001</t>
  </si>
  <si>
    <t xml:space="preserve">DE-REG-001, DE-REG-002</t>
  </si>
  <si>
    <t xml:space="preserve">DE.CM-02</t>
  </si>
  <si>
    <t xml:space="preserve">The physical environment is monitored to find potentially adverse events</t>
  </si>
  <si>
    <t xml:space="preserve">เฝ้าระวังสภาพแวดล้อมทางกายภาพเพื่อค้นหาเหตุการณ์ที่อาจไม่พึงประสงค์</t>
  </si>
  <si>
    <t xml:space="preserve">DE.CM-03</t>
  </si>
  <si>
    <t xml:space="preserve">Personnel activity and technology usage are monitored to find potentially adverse events</t>
  </si>
  <si>
    <t xml:space="preserve">เฝ้าระวังกิจกรรมของบุคลากรและการใช้เทคโนโลยีเพื่อค้นหาเหตุการณ์ที่อาจไม่พึงประสงค์</t>
  </si>
  <si>
    <t xml:space="preserve">DE.CM-06</t>
  </si>
  <si>
    <t xml:space="preserve">External service provider activities and services are monitored to find potentially adverse events</t>
  </si>
  <si>
    <t xml:space="preserve">เฝ้าระวังกิจกรรมและบริการของผู้ให้บริการภายนอกเพื่อค้นหาเหตุการณ์ที่อาจไม่พึงประสงค์</t>
  </si>
  <si>
    <t xml:space="preserve">DE.CM-09</t>
  </si>
  <si>
    <t xml:space="preserve">Computing hardware and software, runtime environments, and their data are monitored to find potentially adverse events</t>
  </si>
  <si>
    <t xml:space="preserve">เฝ้าระวังฮาร์ดแวร์ ซอฟต์แวร์ สภาพแวดล้อมการทำงาน และข้อมูล เพื่อค้นหาเหตุการณ์ที่อาจไม่พึงประสงค์</t>
  </si>
  <si>
    <t xml:space="preserve">PR-STD-011, PR-STD-012, DE-STD-001</t>
  </si>
  <si>
    <t xml:space="preserve">DE.AE-02</t>
  </si>
  <si>
    <t xml:space="preserve">Adverse Event Analysis</t>
  </si>
  <si>
    <t xml:space="preserve">Potentially adverse events are analyzed to better understand associated activities</t>
  </si>
  <si>
    <t xml:space="preserve">วิเคราะห์เหตุการณ์ที่อาจไม่พึงประสงค์เพื่อเข้าใจกิจกรรมที่เกี่ยวข้อง</t>
  </si>
  <si>
    <t xml:space="preserve">DE-PRC-002, DE-PRC-003</t>
  </si>
  <si>
    <t xml:space="preserve">DE.AE-03</t>
  </si>
  <si>
    <t xml:space="preserve">Information is correlated from multiple sources</t>
  </si>
  <si>
    <t xml:space="preserve">เชื่อมโยงข้อมูลจากหลายแหล่ง</t>
  </si>
  <si>
    <t xml:space="preserve">DE.AE-04</t>
  </si>
  <si>
    <t xml:space="preserve">The estimated impact and scope of adverse events are understood</t>
  </si>
  <si>
    <t xml:space="preserve">เข้าใจผลกระทบและขอบเขตโดยประมาณของเหตุการณ์ไม่พึงประสงค์</t>
  </si>
  <si>
    <t xml:space="preserve">DE.AE-06</t>
  </si>
  <si>
    <t xml:space="preserve">Information on adverse events is provided to authorized staff and tools</t>
  </si>
  <si>
    <t xml:space="preserve">ส่งข้อมูลเหตุการณ์ไม่พึงประสงค์ให้บุคลากรและเครื่องมือที่ได้รับอนุญาต</t>
  </si>
  <si>
    <t xml:space="preserve">DE-PRC-001, DE-PRC-002</t>
  </si>
  <si>
    <t xml:space="preserve">DE.AE-07</t>
  </si>
  <si>
    <t xml:space="preserve">Cyber threat intelligence and other contextual information are integrated into the analysis</t>
  </si>
  <si>
    <t xml:space="preserve">นำข่าวกรองภัยคุกคามไซเบอร์และข้อมูลบริบทอื่นมาใช้ในการวิเคราะห์</t>
  </si>
  <si>
    <t xml:space="preserve">DE.AE-08</t>
  </si>
  <si>
    <t xml:space="preserve">Incidents are declared when adverse events meet the defined incident criteria</t>
  </si>
  <si>
    <t xml:space="preserve">ประกาศเป็นเหตุการณ์ (incident) เมื่อเหตุการณ์ไม่พึงประสงค์เข้าเกณฑ์ที่กำหนด</t>
  </si>
  <si>
    <t xml:space="preserve">RS.MA-01</t>
  </si>
  <si>
    <t xml:space="preserve">Incident Management</t>
  </si>
  <si>
    <t xml:space="preserve">The incident response plan is executed in coordination with relevant third parties once an incident is declared</t>
  </si>
  <si>
    <t xml:space="preserve">ดำเนินการตามแผนรับมือเหตุการณ์ร่วมกับบุคคลภายนอกที่เกี่ยวข้องเมื่อมีการประกาศเหตุการณ์</t>
  </si>
  <si>
    <t xml:space="preserve">Incident reports are triaged and validated</t>
  </si>
  <si>
    <t xml:space="preserve">คัดกรองและยืนยันรายงานเหตุการณ์</t>
  </si>
  <si>
    <t xml:space="preserve">RS-FRM-001, RS-REG-001</t>
  </si>
  <si>
    <t xml:space="preserve">RS.MA-03</t>
  </si>
  <si>
    <t xml:space="preserve">Incidents are categorized and prioritized</t>
  </si>
  <si>
    <t xml:space="preserve">จัดหมวดหมู่และจัดลำดับความสำคัญของเหตุการณ์</t>
  </si>
  <si>
    <t xml:space="preserve">RS-PRC-001, RS-PLB-003</t>
  </si>
  <si>
    <t xml:space="preserve">RS.MA-04</t>
  </si>
  <si>
    <t xml:space="preserve">Incidents are escalated or elevated as needed</t>
  </si>
  <si>
    <t xml:space="preserve">ยกระดับเหตุการณ์ตามความจำเป็น</t>
  </si>
  <si>
    <t xml:space="preserve">RS-PLN-001, RS-PRC-001, RC-PLN-003</t>
  </si>
  <si>
    <t xml:space="preserve">RS.MA-05</t>
  </si>
  <si>
    <t xml:space="preserve">The criteria for initiating incident recovery are applied</t>
  </si>
  <si>
    <t xml:space="preserve">ใช้เกณฑ์ที่กำหนดในการเริ่มกู้คืนจากเหตุการณ์</t>
  </si>
  <si>
    <t xml:space="preserve">RS-PLN-001, RS-PRC-001</t>
  </si>
  <si>
    <t xml:space="preserve">RS.AN-03</t>
  </si>
  <si>
    <t xml:space="preserve">Incident Analysis</t>
  </si>
  <si>
    <t xml:space="preserve">Analysis is performed to establish what has taken place during an incident and the root cause</t>
  </si>
  <si>
    <t xml:space="preserve">วิเคราะห์เพื่อระบุสิ่งที่เกิดขึ้นระหว่างเหตุการณ์และสาเหตุที่แท้จริง</t>
  </si>
  <si>
    <t xml:space="preserve">RS-PLB-001, RS-PLB-002, RS-PRC-002</t>
  </si>
  <si>
    <t xml:space="preserve">RS-REG-001, RS-TPL-001</t>
  </si>
  <si>
    <t xml:space="preserve">RS.AN-06</t>
  </si>
  <si>
    <t xml:space="preserve">Actions performed during an investigation are recorded and the records' integrity and provenance are preserved</t>
  </si>
  <si>
    <t xml:space="preserve">บันทึกการดำเนินการระหว่างการสอบสวน และรักษาความถูกต้องครบถ้วนและที่มาของบันทึก</t>
  </si>
  <si>
    <t xml:space="preserve">RS-FRM-002, RS-TPL-001</t>
  </si>
  <si>
    <t xml:space="preserve">RS.AN-07</t>
  </si>
  <si>
    <t xml:space="preserve">Incident data and metadata are collected, and their integrity and provenance are preserved</t>
  </si>
  <si>
    <t xml:space="preserve">เก็บรวบรวมข้อมูลและ metadata ของเหตุการณ์ และรักษาความถูกต้องครบถ้วนและที่มา</t>
  </si>
  <si>
    <t xml:space="preserve">RS.AN-08</t>
  </si>
  <si>
    <t xml:space="preserve">An incident's magnitude is estimated and validated</t>
  </si>
  <si>
    <t xml:space="preserve">ประมาณและยืนยันขนาดของเหตุการณ์</t>
  </si>
  <si>
    <t xml:space="preserve">RS-PLB-003, RS-PRC-002</t>
  </si>
  <si>
    <t xml:space="preserve">RS.CO-02</t>
  </si>
  <si>
    <t xml:space="preserve">Incident Response Reporting and Communication</t>
  </si>
  <si>
    <t xml:space="preserve">Internal and external stakeholders are notified of incidents</t>
  </si>
  <si>
    <t xml:space="preserve">แจ้งเหตุการณ์ต่อผู้มีส่วนได้ส่วนเสียภายในและภายนอก</t>
  </si>
  <si>
    <t xml:space="preserve">RS-PLN-001, RS-PLB-003, RS-PRC-003</t>
  </si>
  <si>
    <t xml:space="preserve">RS-REG-002, RS-TPL-002</t>
  </si>
  <si>
    <t xml:space="preserve">RS.CO-03</t>
  </si>
  <si>
    <t xml:space="preserve">Information is shared with designated internal and external stakeholders</t>
  </si>
  <si>
    <t xml:space="preserve">แบ่งปันข้อมูลกับผู้มีส่วนได้ส่วนเสียภายในและภายนอกที่กำหนด</t>
  </si>
  <si>
    <t xml:space="preserve">RS.MI-01</t>
  </si>
  <si>
    <t xml:space="preserve">Incident Mitigation</t>
  </si>
  <si>
    <t xml:space="preserve">Incidents are contained</t>
  </si>
  <si>
    <t xml:space="preserve">ควบคุมการแพร่กระจายของเหตุการณ์</t>
  </si>
  <si>
    <t xml:space="preserve">RS-PRC-001, RS-PLB-001, RS-PLB-002, RS-PLB-004</t>
  </si>
  <si>
    <t xml:space="preserve">RS.MI-02</t>
  </si>
  <si>
    <t xml:space="preserve">Incidents are eradicated</t>
  </si>
  <si>
    <t xml:space="preserve">กำจัดต้นเหตุของเหตุการณ์</t>
  </si>
  <si>
    <t xml:space="preserve">RC.RP-01</t>
  </si>
  <si>
    <t xml:space="preserve">Incident Recovery Plan Execution</t>
  </si>
  <si>
    <t xml:space="preserve">The recovery portion of the incident response plan is executed once initiated</t>
  </si>
  <si>
    <t xml:space="preserve">ดำเนินการส่วนการกู้คืนของแผนรับมือเหตุการณ์เมื่อเริ่มกระบวนการ</t>
  </si>
  <si>
    <t xml:space="preserve">RC-PLN-001, RC-PLN-002</t>
  </si>
  <si>
    <t xml:space="preserve">RC.RP-02</t>
  </si>
  <si>
    <t xml:space="preserve">Recovery actions are selected, scoped, prioritized, and performed</t>
  </si>
  <si>
    <t xml:space="preserve">เลือก กำหนดขอบเขต จัดลำดับ และดำเนินการกู้คืน</t>
  </si>
  <si>
    <t xml:space="preserve">RC-PLN-001, RC-PLN-002, RC-PRC-001</t>
  </si>
  <si>
    <t xml:space="preserve">RC.RP-03</t>
  </si>
  <si>
    <t xml:space="preserve">The integrity of backups and other restoration assets is verified before using them for restoration</t>
  </si>
  <si>
    <t xml:space="preserve">ตรวจสอบความถูกต้องครบถ้วนของข้อมูลสำรองและทรัพย์สินที่ใช้กู้คืนก่อนนำมาใช้</t>
  </si>
  <si>
    <t xml:space="preserve">PR-PRC-005, RS-PLB-001, RC-PLN-002, RC-PRC-001</t>
  </si>
  <si>
    <t xml:space="preserve">RC.RP-04</t>
  </si>
  <si>
    <t xml:space="preserve">Critical mission functions and cybersecurity risk management are considered to establish post-incident operational norms</t>
  </si>
  <si>
    <t xml:space="preserve">พิจารณาหน้าที่สำคัญต่อพันธกิจและการบริหารความเสี่ยงด้านไซเบอร์ในการกำหนดสภาพการทำงานหลังเหตุการณ์</t>
  </si>
  <si>
    <t xml:space="preserve">RC.RP-05</t>
  </si>
  <si>
    <t xml:space="preserve">The integrity of restored assets is verified, systems and services are restored, and normal operating status is confirmed</t>
  </si>
  <si>
    <t xml:space="preserve">ตรวจสอบความถูกต้องครบถ้วนของทรัพย์สินที่กู้คืน กู้คืนระบบและบริการ และยืนยันสถานะการทำงานปกติ</t>
  </si>
  <si>
    <t xml:space="preserve">RC-PLN-002, RC-PRC-001</t>
  </si>
  <si>
    <t xml:space="preserve">RC-REC-001, RC-FRM-001</t>
  </si>
  <si>
    <t xml:space="preserve">RC.RP-06</t>
  </si>
  <si>
    <t xml:space="preserve">The end of incident recovery is declared based on criteria, and incident-related documentation is completed</t>
  </si>
  <si>
    <t xml:space="preserve">ประกาศสิ้นสุดการกู้คืนตามเกณฑ์ และจัดทำเอกสารที่เกี่ยวข้องกับเหตุการณ์ให้ครบถ้วน</t>
  </si>
  <si>
    <t xml:space="preserve">RC.CO-03</t>
  </si>
  <si>
    <t xml:space="preserve">Incident Recovery Communication</t>
  </si>
  <si>
    <t xml:space="preserve">Recovery activities and progress in restoring operational capabilities are communicated to designated stakeholders</t>
  </si>
  <si>
    <t xml:space="preserve">สื่อสารกิจกรรมการกู้คืนและความคืบหน้าในการฟื้นฟูขีดความสามารถไปยังผู้มีส่วนได้ส่วนเสียที่กำหนด</t>
  </si>
  <si>
    <t xml:space="preserve">RC-PLN-001, RC-PLN-003, RC-PRC-002</t>
  </si>
  <si>
    <t xml:space="preserve">RC.CO-04</t>
  </si>
  <si>
    <t xml:space="preserve">Public updates on incident recovery are shared using approved methods and messaging</t>
  </si>
  <si>
    <t xml:space="preserve">เผยแพร่ข้อมูลความคืบหน้าการกู้คืนต่อสาธารณะด้วยวิธีและข้อความที่ได้รับอนุมัติ</t>
  </si>
  <si>
    <t xml:space="preserve">RC-PLN-003, RC-PRC-002</t>
  </si>
  <si>
    <t xml:space="preserve">Parent ID</t>
  </si>
  <si>
    <t xml:space="preserve">Parent Title</t>
  </si>
  <si>
    <t xml:space="preserve">Parent Tier</t>
  </si>
  <si>
    <t xml:space="preserve">Child ID</t>
  </si>
  <si>
    <t xml:space="preserve">Child Title</t>
  </si>
  <si>
    <t xml:space="preserve">Child Tier</t>
  </si>
  <si>
    <t xml:space="preserve">Items Marked [VERIFY]</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</si>
</sst>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t="s">
        <v>1</v>
      </c>
    </row>
    <row r="3" customFormat="false" ht="35.05" hidden="false" customHeight="false" outlineLevel="0" collapsed="false">
      <c r="A3" s="2" t="s">
        <v>2</v>
      </c>
    </row>
    <row r="4" customFormat="false" ht="23.85" hidden="false" customHeight="false" outlineLevel="0" collapsed="false">
      <c r="A4" s="2" t="s">
        <v>3</v>
      </c>
    </row>
    <row r="5" customFormat="false" ht="23.85" hidden="false" customHeight="false" outlineLevel="0" collapsed="false">
      <c r="A5" s="2" t="s">
        <v>4</v>
      </c>
    </row>
    <row r="6" customFormat="false" ht="23.85" hidden="false" customHeight="false" outlineLevel="0" collapsed="false">
      <c r="A6" s="2" t="s">
        <v>5</v>
      </c>
    </row>
    <row r="7" customFormat="false" ht="23.85" hidden="false" customHeight="false" outlineLevel="0" collapsed="false">
      <c r="A7" s="2" t="s">
        <v>6</v>
      </c>
    </row>
    <row r="8" customFormat="false" ht="15" hidden="false" customHeight="false" outlineLevel="0" collapsed="false">
      <c r="A8" s="2" t="s">
        <v>7</v>
      </c>
    </row>
    <row r="9" customFormat="false" ht="35.05" hidden="false" customHeight="false" outlineLevel="0" collapsed="false">
      <c r="A9" s="2" t="s">
        <v>8</v>
      </c>
    </row>
    <row r="10" customFormat="false" ht="15" hidden="false" customHeight="false" outlineLevel="0" collapsed="false">
      <c r="A10" s="2" t="s">
        <v>9</v>
      </c>
    </row>
    <row r="11" customFormat="false" ht="15" hidden="false" customHeight="false" outlineLevel="0" collapsed="false">
      <c r="A11"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s>
  <sheetData>
    <row r="1" customFormat="false" ht="15" hidden="false" customHeight="false" outlineLevel="0" collapsed="false">
      <c r="A1" s="3" t="s">
        <v>11</v>
      </c>
    </row>
    <row r="3" customFormat="false" ht="15" hidden="false" customHeight="false" outlineLevel="0" collapsed="false">
      <c r="A3" s="3" t="s">
        <v>12</v>
      </c>
      <c r="B3" s="3" t="s">
        <v>13</v>
      </c>
    </row>
    <row r="4" customFormat="false" ht="15" hidden="false" customHeight="false" outlineLevel="0" collapsed="false">
      <c r="A4" s="4" t="s">
        <v>14</v>
      </c>
      <c r="B4" s="4" t="n">
        <f aca="false">COUNTIF('Document Register'!$D$2:$D$143,"Govern*")</f>
        <v>47</v>
      </c>
    </row>
    <row r="5" customFormat="false" ht="15" hidden="false" customHeight="false" outlineLevel="0" collapsed="false">
      <c r="A5" s="4" t="s">
        <v>15</v>
      </c>
      <c r="B5" s="4" t="n">
        <f aca="false">COUNTIF('Document Register'!$D$2:$D$143,"Identify*")</f>
        <v>23</v>
      </c>
    </row>
    <row r="6" customFormat="false" ht="15" hidden="false" customHeight="false" outlineLevel="0" collapsed="false">
      <c r="A6" s="4" t="s">
        <v>16</v>
      </c>
      <c r="B6" s="4" t="n">
        <f aca="false">COUNTIF('Document Register'!$D$2:$D$143,"Protect*")</f>
        <v>41</v>
      </c>
    </row>
    <row r="7" customFormat="false" ht="15" hidden="false" customHeight="false" outlineLevel="0" collapsed="false">
      <c r="A7" s="4" t="s">
        <v>17</v>
      </c>
      <c r="B7" s="4" t="n">
        <f aca="false">COUNTIF('Document Register'!$D$2:$D$143,"Detect*")</f>
        <v>8</v>
      </c>
    </row>
    <row r="8" customFormat="false" ht="15" hidden="false" customHeight="false" outlineLevel="0" collapsed="false">
      <c r="A8" s="4" t="s">
        <v>18</v>
      </c>
      <c r="B8" s="4" t="n">
        <f aca="false">COUNTIF('Document Register'!$D$2:$D$143,"Respond*")</f>
        <v>14</v>
      </c>
    </row>
    <row r="9" customFormat="false" ht="15" hidden="false" customHeight="false" outlineLevel="0" collapsed="false">
      <c r="A9" s="4" t="s">
        <v>19</v>
      </c>
      <c r="B9" s="4" t="n">
        <f aca="false">COUNTIF('Document Register'!$D$2:$D$143,"Recover*")</f>
        <v>9</v>
      </c>
    </row>
    <row r="10" customFormat="false" ht="15" hidden="false" customHeight="false" outlineLevel="0" collapsed="false">
      <c r="A10" s="3" t="s">
        <v>20</v>
      </c>
      <c r="B10" s="3" t="n">
        <f aca="false">SUM(B4:B9)</f>
        <v>142</v>
      </c>
    </row>
    <row r="12" customFormat="false" ht="15" hidden="false" customHeight="false" outlineLevel="0" collapsed="false">
      <c r="A12" s="3" t="s">
        <v>21</v>
      </c>
      <c r="B12" s="3" t="s">
        <v>13</v>
      </c>
    </row>
    <row r="13" customFormat="false" ht="15" hidden="false" customHeight="false" outlineLevel="0" collapsed="false">
      <c r="A13" s="4" t="s">
        <v>22</v>
      </c>
      <c r="B13" s="4" t="n">
        <f aca="false">COUNTIF('Document Register'!$F$2:$F$143,"T0*")</f>
        <v>4</v>
      </c>
    </row>
    <row r="14" customFormat="false" ht="15" hidden="false" customHeight="false" outlineLevel="0" collapsed="false">
      <c r="A14" s="4" t="s">
        <v>23</v>
      </c>
      <c r="B14" s="4" t="n">
        <f aca="false">COUNTIF('Document Register'!$F$2:$F$143,"T1*")</f>
        <v>10</v>
      </c>
    </row>
    <row r="15" customFormat="false" ht="15" hidden="false" customHeight="false" outlineLevel="0" collapsed="false">
      <c r="A15" s="4" t="s">
        <v>24</v>
      </c>
      <c r="B15" s="4" t="n">
        <f aca="false">COUNTIF('Document Register'!$F$2:$F$143,"T2*")</f>
        <v>24</v>
      </c>
    </row>
    <row r="16" customFormat="false" ht="15" hidden="false" customHeight="false" outlineLevel="0" collapsed="false">
      <c r="A16" s="4" t="s">
        <v>25</v>
      </c>
      <c r="B16" s="4" t="n">
        <f aca="false">COUNTIF('Document Register'!$F$2:$F$143,"T3*")</f>
        <v>44</v>
      </c>
    </row>
    <row r="17" customFormat="false" ht="15" hidden="false" customHeight="false" outlineLevel="0" collapsed="false">
      <c r="A17" s="4" t="s">
        <v>26</v>
      </c>
      <c r="B17" s="4" t="n">
        <f aca="false">COUNTIF('Document Register'!$F$2:$F$143,"T4*")</f>
        <v>60</v>
      </c>
    </row>
    <row r="18" customFormat="false" ht="15" hidden="false" customHeight="false" outlineLevel="0" collapsed="false">
      <c r="A18" s="3" t="s">
        <v>20</v>
      </c>
      <c r="B18" s="3" t="n">
        <f aca="false">SUM(B13:B17)</f>
        <v>142</v>
      </c>
    </row>
    <row r="20" customFormat="false" ht="15" hidden="false" customHeight="false" outlineLevel="0" collapsed="false">
      <c r="A20" s="3" t="s">
        <v>27</v>
      </c>
      <c r="B20" s="3" t="s">
        <v>13</v>
      </c>
    </row>
    <row r="21" customFormat="false" ht="15" hidden="false" customHeight="false" outlineLevel="0" collapsed="false">
      <c r="A21" s="4" t="s">
        <v>28</v>
      </c>
      <c r="B21" s="4" t="n">
        <f aca="false">COUNTIF('Document Register'!$H$2:$H$143,"Organizational*")</f>
        <v>94</v>
      </c>
    </row>
    <row r="22" customFormat="false" ht="15" hidden="false" customHeight="false" outlineLevel="0" collapsed="false">
      <c r="A22" s="4" t="s">
        <v>29</v>
      </c>
      <c r="B22" s="4" t="n">
        <f aca="false">COUNTIF('Document Register'!$H$2:$H$143,"People*")</f>
        <v>8</v>
      </c>
    </row>
    <row r="23" customFormat="false" ht="15" hidden="false" customHeight="false" outlineLevel="0" collapsed="false">
      <c r="A23" s="4" t="s">
        <v>30</v>
      </c>
      <c r="B23" s="4" t="n">
        <f aca="false">COUNTIF('Document Register'!$H$2:$H$143,"Physical*")</f>
        <v>4</v>
      </c>
    </row>
    <row r="24" customFormat="false" ht="15" hidden="false" customHeight="false" outlineLevel="0" collapsed="false">
      <c r="A24" s="4" t="s">
        <v>31</v>
      </c>
      <c r="B24" s="4" t="n">
        <f aca="false">COUNTIF('Document Register'!$H$2:$H$143,"Technological*")</f>
        <v>36</v>
      </c>
    </row>
    <row r="25" customFormat="false" ht="15" hidden="false" customHeight="false" outlineLevel="0" collapsed="false">
      <c r="A25" s="3" t="s">
        <v>20</v>
      </c>
      <c r="B25" s="3" t="n">
        <f aca="false">SUM(B21:B24)</f>
        <v>142</v>
      </c>
    </row>
    <row r="27" customFormat="false" ht="15" hidden="false" customHeight="false" outlineLevel="0" collapsed="false">
      <c r="A27" s="3" t="s">
        <v>32</v>
      </c>
      <c r="B27" s="3" t="s">
        <v>13</v>
      </c>
    </row>
    <row r="28" customFormat="false" ht="15" hidden="false" customHeight="false" outlineLevel="0" collapsed="false">
      <c r="A28" s="4" t="s">
        <v>33</v>
      </c>
      <c r="B28" s="4" t="n">
        <f aca="false">COUNTIF('Document Register'!$X$2:$X$143,"W0 Mandate and Mobilize*")</f>
        <v>15</v>
      </c>
    </row>
    <row r="29" customFormat="false" ht="15" hidden="false" customHeight="false" outlineLevel="0" collapsed="false">
      <c r="A29" s="4" t="s">
        <v>34</v>
      </c>
      <c r="B29" s="4" t="n">
        <f aca="false">COUNTIF('Document Register'!$X$2:$X$143,"W1 Understand*")</f>
        <v>22</v>
      </c>
    </row>
    <row r="30" customFormat="false" ht="15" hidden="false" customHeight="false" outlineLevel="0" collapsed="false">
      <c r="A30" s="4" t="s">
        <v>35</v>
      </c>
      <c r="B30" s="4" t="n">
        <f aca="false">COUNTIF('Document Register'!$X$2:$X$143,"W2 Direct*")</f>
        <v>25</v>
      </c>
    </row>
    <row r="31" customFormat="false" ht="15" hidden="false" customHeight="false" outlineLevel="0" collapsed="false">
      <c r="A31" s="4" t="s">
        <v>36</v>
      </c>
      <c r="B31" s="4" t="n">
        <f aca="false">COUNTIF('Document Register'!$X$2:$X$143,"W3 Standardize*")</f>
        <v>57</v>
      </c>
    </row>
    <row r="32" customFormat="false" ht="15" hidden="false" customHeight="false" outlineLevel="0" collapsed="false">
      <c r="A32" s="4" t="s">
        <v>37</v>
      </c>
      <c r="B32" s="4" t="n">
        <f aca="false">COUNTIF('Document Register'!$X$2:$X$143,"W4 Operate and Prove*")</f>
        <v>14</v>
      </c>
    </row>
    <row r="33" customFormat="false" ht="15" hidden="false" customHeight="false" outlineLevel="0" collapsed="false">
      <c r="A33" s="4" t="s">
        <v>38</v>
      </c>
      <c r="B33" s="4" t="n">
        <f aca="false">COUNTIF('Document Register'!$X$2:$X$143,"W5 Optimize*")</f>
        <v>9</v>
      </c>
    </row>
    <row r="34" customFormat="false" ht="15" hidden="false" customHeight="false" outlineLevel="0" collapsed="false">
      <c r="A34" s="3" t="s">
        <v>20</v>
      </c>
      <c r="B34" s="3" t="n">
        <f aca="false">SUM(B28:B33)</f>
        <v>142</v>
      </c>
    </row>
    <row r="36" customFormat="false" ht="15" hidden="false" customHeight="false" outlineLevel="0" collapsed="false">
      <c r="A36" s="3" t="s">
        <v>39</v>
      </c>
      <c r="B36" s="3" t="s">
        <v>13</v>
      </c>
    </row>
    <row r="37" customFormat="false" ht="15" hidden="false" customHeight="false" outlineLevel="0" collapsed="false">
      <c r="A37" s="4" t="s">
        <v>40</v>
      </c>
      <c r="B37" s="4" t="n">
        <f aca="false">COUNTIF('Document Register'!$Z$2:$Z$143,"IT-ready*")</f>
        <v>54</v>
      </c>
    </row>
    <row r="38" customFormat="false" ht="15" hidden="false" customHeight="false" outlineLevel="0" collapsed="false">
      <c r="A38" s="4" t="s">
        <v>41</v>
      </c>
      <c r="B38" s="4" t="n">
        <f aca="false">COUNTIF('Document Register'!$Z$2:$Z$143,"Specialist-guided*")</f>
        <v>54</v>
      </c>
    </row>
    <row r="39" customFormat="false" ht="15" hidden="false" customHeight="false" outlineLevel="0" collapsed="false">
      <c r="A39" s="4" t="s">
        <v>42</v>
      </c>
      <c r="B39" s="4" t="n">
        <f aca="false">COUNTIF('Document Register'!$Z$2:$Z$143,"Specialist-required*")</f>
        <v>34</v>
      </c>
    </row>
    <row r="40" customFormat="false" ht="15" hidden="false" customHeight="false" outlineLevel="0" collapsed="false">
      <c r="A40" s="3" t="s">
        <v>20</v>
      </c>
      <c r="B40" s="3" t="n">
        <f aca="false">SUM(B37:B39)</f>
        <v>142</v>
      </c>
    </row>
    <row r="42" customFormat="false" ht="15" hidden="false" customHeight="false" outlineLevel="0" collapsed="false">
      <c r="A42" s="3" t="s">
        <v>43</v>
      </c>
      <c r="B42" s="3" t="s">
        <v>13</v>
      </c>
    </row>
    <row r="43" customFormat="false" ht="15" hidden="false" customHeight="false" outlineLevel="0" collapsed="false">
      <c r="A43" s="4" t="s">
        <v>44</v>
      </c>
      <c r="B43" s="4" t="n">
        <f aca="false">COUNTIF('Document Register'!$I$2:$I$143,"Essential*")</f>
        <v>59</v>
      </c>
    </row>
    <row r="44" customFormat="false" ht="15" hidden="false" customHeight="false" outlineLevel="0" collapsed="false">
      <c r="A44" s="4" t="s">
        <v>45</v>
      </c>
      <c r="B44" s="4" t="n">
        <f aca="false">COUNTIF('Document Register'!$I$2:$I$143,"Core*")</f>
        <v>67</v>
      </c>
    </row>
    <row r="45" customFormat="false" ht="15" hidden="false" customHeight="false" outlineLevel="0" collapsed="false">
      <c r="A45" s="4" t="s">
        <v>46</v>
      </c>
      <c r="B45" s="4" t="n">
        <f aca="false">COUNTIF('Document Register'!$I$2:$I$143,"Extended*")</f>
        <v>16</v>
      </c>
    </row>
    <row r="46" customFormat="false" ht="15" hidden="false" customHeight="false" outlineLevel="0" collapsed="false">
      <c r="A46" s="3" t="s">
        <v>20</v>
      </c>
      <c r="B46" s="3" t="n">
        <f aca="false">SUM(B43:B45)</f>
        <v>142</v>
      </c>
    </row>
    <row r="48" customFormat="false" ht="15" hidden="false" customHeight="false" outlineLevel="0" collapsed="false">
      <c r="A48" s="3" t="s">
        <v>47</v>
      </c>
      <c r="B48" s="3" t="s">
        <v>13</v>
      </c>
    </row>
    <row r="49" customFormat="false" ht="15" hidden="false" customHeight="false" outlineLevel="0" collapsed="false">
      <c r="A49" s="4" t="s">
        <v>48</v>
      </c>
      <c r="B49" s="4" t="n">
        <f aca="false">COUNTIF('Document Register'!$J$2:$J$143,"Required*")</f>
        <v>23</v>
      </c>
    </row>
    <row r="50" customFormat="false" ht="15" hidden="false" customHeight="false" outlineLevel="0" collapsed="false">
      <c r="A50" s="4" t="s">
        <v>49</v>
      </c>
      <c r="B50" s="4" t="n">
        <f aca="false">COUNTIF('Document Register'!$J$2:$J$143,"Expected*")</f>
        <v>110</v>
      </c>
    </row>
    <row r="51" customFormat="false" ht="15" hidden="false" customHeight="false" outlineLevel="0" collapsed="false">
      <c r="A51" s="4" t="s">
        <v>50</v>
      </c>
      <c r="B51" s="4" t="n">
        <f aca="false">COUNTIF('Document Register'!$J$2:$J$143,"Optional*")</f>
        <v>9</v>
      </c>
    </row>
    <row r="52" customFormat="false" ht="15" hidden="false" customHeight="false" outlineLevel="0" collapsed="false">
      <c r="A52" s="3" t="s">
        <v>20</v>
      </c>
      <c r="B52" s="3" t="n">
        <f aca="false">SUM(B49:B51)</f>
        <v>142</v>
      </c>
    </row>
    <row r="54" customFormat="false" ht="15" hidden="false" customHeight="false" outlineLevel="0" collapsed="false">
      <c r="A54" s="3" t="s">
        <v>51</v>
      </c>
      <c r="B54" s="3" t="s">
        <v>13</v>
      </c>
    </row>
    <row r="55" customFormat="false" ht="15" hidden="false" customHeight="false" outlineLevel="0" collapsed="false">
      <c r="A55" s="4" t="s">
        <v>52</v>
      </c>
      <c r="B55" s="4" t="n">
        <f aca="false">COUNTIF('Document Register'!$AE$2:$AE$143,"Not started*")</f>
        <v>142</v>
      </c>
    </row>
    <row r="56" customFormat="false" ht="15" hidden="false" customHeight="false" outlineLevel="0" collapsed="false">
      <c r="A56" s="4" t="s">
        <v>53</v>
      </c>
      <c r="B56" s="4" t="n">
        <f aca="false">COUNTIF('Document Register'!$AE$2:$AE$143,"Drafting*")</f>
        <v>0</v>
      </c>
    </row>
    <row r="57" customFormat="false" ht="15" hidden="false" customHeight="false" outlineLevel="0" collapsed="false">
      <c r="A57" s="4" t="s">
        <v>54</v>
      </c>
      <c r="B57" s="4" t="n">
        <f aca="false">COUNTIF('Document Register'!$AE$2:$AE$143,"In review*")</f>
        <v>0</v>
      </c>
    </row>
    <row r="58" customFormat="false" ht="15" hidden="false" customHeight="false" outlineLevel="0" collapsed="false">
      <c r="A58" s="4" t="s">
        <v>55</v>
      </c>
      <c r="B58" s="4" t="n">
        <f aca="false">COUNTIF('Document Register'!$AE$2:$AE$143,"Approved*")</f>
        <v>0</v>
      </c>
    </row>
    <row r="59" customFormat="false" ht="15" hidden="false" customHeight="false" outlineLevel="0" collapsed="false">
      <c r="A59" s="4" t="s">
        <v>56</v>
      </c>
      <c r="B59" s="4" t="n">
        <f aca="false">COUNTIF('Document Register'!$AE$2:$AE$143,"Not applicable*")</f>
        <v>0</v>
      </c>
    </row>
    <row r="60" customFormat="false" ht="15" hidden="false" customHeight="false" outlineLevel="0" collapsed="false">
      <c r="A60" s="3" t="s">
        <v>20</v>
      </c>
      <c r="B60" s="3" t="n">
        <f aca="false">SUM(B55:B59)</f>
        <v>142</v>
      </c>
    </row>
    <row r="62" customFormat="false" ht="15" hidden="false" customHeight="false" outlineLevel="0" collapsed="false">
      <c r="A62" s="3" t="s">
        <v>57</v>
      </c>
      <c r="B62" s="3" t="n">
        <f aca="false">COUNTIF('CSF Traceability'!$F$2:$F$107,"&gt;0")</f>
        <v>106</v>
      </c>
    </row>
    <row r="63" customFormat="false" ht="15" hidden="false" customHeight="false" outlineLevel="0" collapsed="false">
      <c r="A63" s="4" t="s">
        <v>58</v>
      </c>
      <c r="B63" s="4" t="n">
        <f aca="false">COUNTA('CSF Traceability'!$A$2:$A$107)</f>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38"/>
    <col collapsed="false" customWidth="true" hidden="false" outlineLevel="0" max="4" min="4" style="0" width="14"/>
    <col collapsed="false" customWidth="true" hidden="false" outlineLevel="0" max="5" min="5" style="0" width="30"/>
    <col collapsed="false" customWidth="true" hidden="false" outlineLevel="0" max="6" min="6" style="0" width="6"/>
    <col collapsed="false" customWidth="true" hidden="false" outlineLevel="0" max="7" min="7" style="0" width="11"/>
    <col collapsed="false" customWidth="true" hidden="false" outlineLevel="0" max="8" min="8" style="0" width="14"/>
    <col collapsed="false" customWidth="true" hidden="false" outlineLevel="0" max="10" min="9" style="0" width="10"/>
    <col collapsed="false" customWidth="true" hidden="false" outlineLevel="0" max="11" min="11" style="0" width="16"/>
    <col collapsed="false" customWidth="true" hidden="false" outlineLevel="0" max="12" min="12" style="0" width="45"/>
    <col collapsed="false" customWidth="true" hidden="false" outlineLevel="0" max="13" min="13" style="0" width="22"/>
    <col collapsed="false" customWidth="true" hidden="false" outlineLevel="0" max="14" min="14" style="0" width="30"/>
    <col collapsed="false" customWidth="true" hidden="false" outlineLevel="0" max="16" min="15" style="0" width="22"/>
    <col collapsed="false" customWidth="true" hidden="false" outlineLevel="0" max="18" min="17" style="0" width="26"/>
    <col collapsed="false" customWidth="true" hidden="false" outlineLevel="0" max="19" min="19" style="0" width="16"/>
    <col collapsed="false" customWidth="true" hidden="false" outlineLevel="0" max="20" min="20" style="0" width="22"/>
    <col collapsed="false" customWidth="true" hidden="false" outlineLevel="0" max="22" min="21" style="0" width="30"/>
    <col collapsed="false" customWidth="true" hidden="false" outlineLevel="0" max="23" min="23" style="0" width="8"/>
    <col collapsed="false" customWidth="true" hidden="false" outlineLevel="0" max="24" min="24" style="0" width="22"/>
    <col collapsed="false" customWidth="true" hidden="false" outlineLevel="0" max="25" min="25" style="0" width="9"/>
    <col collapsed="false" customWidth="true" hidden="false" outlineLevel="0" max="26" min="26" style="0" width="18"/>
    <col collapsed="false" customWidth="true" hidden="false" outlineLevel="0" max="27" min="27" style="0" width="36"/>
    <col collapsed="false" customWidth="true" hidden="false" outlineLevel="0" max="28" min="28" style="0" width="50"/>
    <col collapsed="false" customWidth="true" hidden="false" outlineLevel="0" max="29" min="29" style="0" width="24"/>
    <col collapsed="false" customWidth="true" hidden="false" outlineLevel="0" max="30" min="30" style="0" width="60"/>
    <col collapsed="false" customWidth="true" hidden="false" outlineLevel="0" max="31" min="31" style="0" width="16"/>
  </cols>
  <sheetData>
    <row r="1" customFormat="false" ht="35.05" hidden="false" customHeight="false" outlineLevel="0" collapsed="false">
      <c r="A1" s="5" t="s">
        <v>59</v>
      </c>
      <c r="B1" s="5" t="s">
        <v>60</v>
      </c>
      <c r="C1" s="5" t="s">
        <v>61</v>
      </c>
      <c r="D1" s="5" t="s">
        <v>62</v>
      </c>
      <c r="E1" s="5" t="s">
        <v>63</v>
      </c>
      <c r="F1" s="5" t="s">
        <v>64</v>
      </c>
      <c r="G1" s="5" t="s">
        <v>65</v>
      </c>
      <c r="H1" s="5" t="s">
        <v>66</v>
      </c>
      <c r="I1" s="5" t="s">
        <v>67</v>
      </c>
      <c r="J1" s="5" t="s">
        <v>68</v>
      </c>
      <c r="K1" s="5" t="s">
        <v>69</v>
      </c>
      <c r="L1" s="5" t="s">
        <v>70</v>
      </c>
      <c r="M1" s="5" t="s">
        <v>71</v>
      </c>
      <c r="N1" s="5" t="s">
        <v>72</v>
      </c>
      <c r="O1" s="5" t="s">
        <v>73</v>
      </c>
      <c r="P1" s="5" t="s">
        <v>74</v>
      </c>
      <c r="Q1" s="5" t="s">
        <v>75</v>
      </c>
      <c r="R1" s="5" t="s">
        <v>76</v>
      </c>
      <c r="S1" s="5" t="s">
        <v>77</v>
      </c>
      <c r="T1" s="5" t="s">
        <v>78</v>
      </c>
      <c r="U1" s="5" t="s">
        <v>79</v>
      </c>
      <c r="V1" s="5" t="s">
        <v>80</v>
      </c>
      <c r="W1" s="5" t="s">
        <v>81</v>
      </c>
      <c r="X1" s="5" t="s">
        <v>82</v>
      </c>
      <c r="Y1" s="5" t="s">
        <v>83</v>
      </c>
      <c r="Z1" s="5" t="s">
        <v>84</v>
      </c>
      <c r="AA1" s="5" t="s">
        <v>85</v>
      </c>
      <c r="AB1" s="5" t="s">
        <v>86</v>
      </c>
      <c r="AC1" s="5" t="s">
        <v>87</v>
      </c>
      <c r="AD1" s="5" t="s">
        <v>88</v>
      </c>
      <c r="AE1" s="5" t="s">
        <v>89</v>
      </c>
    </row>
    <row r="2" customFormat="false" ht="46.25" hidden="false" customHeight="false" outlineLevel="0" collapsed="false">
      <c r="A2" s="6" t="s">
        <v>90</v>
      </c>
      <c r="B2" s="6" t="s">
        <v>91</v>
      </c>
      <c r="C2" s="6" t="s">
        <v>92</v>
      </c>
      <c r="D2" s="6" t="s">
        <v>93</v>
      </c>
      <c r="E2" s="6" t="s">
        <v>94</v>
      </c>
      <c r="F2" s="6" t="s">
        <v>22</v>
      </c>
      <c r="G2" s="6" t="s">
        <v>95</v>
      </c>
      <c r="H2" s="6" t="s">
        <v>28</v>
      </c>
      <c r="I2" s="6" t="s">
        <v>44</v>
      </c>
      <c r="J2" s="6" t="s">
        <v>49</v>
      </c>
      <c r="K2" s="6" t="s">
        <v>96</v>
      </c>
      <c r="L2" s="6" t="s">
        <v>97</v>
      </c>
      <c r="M2" s="6" t="s">
        <v>49</v>
      </c>
      <c r="N2" s="6" t="s">
        <v>98</v>
      </c>
      <c r="O2" s="6" t="s">
        <v>99</v>
      </c>
      <c r="P2" s="6" t="s">
        <v>100</v>
      </c>
      <c r="Q2" s="6" t="s">
        <v>101</v>
      </c>
      <c r="R2" s="6" t="s">
        <v>102</v>
      </c>
      <c r="S2" s="6" t="s">
        <v>103</v>
      </c>
      <c r="T2" s="6"/>
      <c r="U2" s="6" t="s">
        <v>104</v>
      </c>
      <c r="V2" s="6" t="s">
        <v>105</v>
      </c>
      <c r="W2" s="6" t="n">
        <v>1</v>
      </c>
      <c r="X2" s="6" t="s">
        <v>33</v>
      </c>
      <c r="Y2" s="6" t="s">
        <v>106</v>
      </c>
      <c r="Z2" s="6" t="s">
        <v>41</v>
      </c>
      <c r="AA2" s="6" t="s">
        <v>107</v>
      </c>
      <c r="AB2" s="6" t="s">
        <v>108</v>
      </c>
      <c r="AC2" s="6"/>
      <c r="AD2" s="6" t="s">
        <v>109</v>
      </c>
      <c r="AE2" s="6" t="s">
        <v>52</v>
      </c>
    </row>
    <row r="3" customFormat="false" ht="35.05" hidden="false" customHeight="false" outlineLevel="0" collapsed="false">
      <c r="A3" s="6" t="s">
        <v>110</v>
      </c>
      <c r="B3" s="6" t="s">
        <v>111</v>
      </c>
      <c r="C3" s="6" t="s">
        <v>112</v>
      </c>
      <c r="D3" s="6" t="s">
        <v>93</v>
      </c>
      <c r="E3" s="6" t="s">
        <v>94</v>
      </c>
      <c r="F3" s="6" t="s">
        <v>22</v>
      </c>
      <c r="G3" s="6" t="s">
        <v>113</v>
      </c>
      <c r="H3" s="6" t="s">
        <v>28</v>
      </c>
      <c r="I3" s="6" t="s">
        <v>45</v>
      </c>
      <c r="J3" s="6" t="s">
        <v>48</v>
      </c>
      <c r="K3" s="6" t="s">
        <v>114</v>
      </c>
      <c r="L3" s="6" t="s">
        <v>115</v>
      </c>
      <c r="M3" s="6" t="s">
        <v>49</v>
      </c>
      <c r="N3" s="6" t="s">
        <v>116</v>
      </c>
      <c r="O3" s="6" t="s">
        <v>117</v>
      </c>
      <c r="P3" s="6" t="s">
        <v>118</v>
      </c>
      <c r="Q3" s="6" t="s">
        <v>101</v>
      </c>
      <c r="R3" s="6" t="s">
        <v>102</v>
      </c>
      <c r="S3" s="6" t="s">
        <v>103</v>
      </c>
      <c r="T3" s="6" t="s">
        <v>90</v>
      </c>
      <c r="U3" s="6" t="s">
        <v>119</v>
      </c>
      <c r="V3" s="6" t="s">
        <v>105</v>
      </c>
      <c r="W3" s="6" t="n">
        <v>38</v>
      </c>
      <c r="X3" s="6" t="s">
        <v>35</v>
      </c>
      <c r="Y3" s="6" t="s">
        <v>106</v>
      </c>
      <c r="Z3" s="6" t="s">
        <v>41</v>
      </c>
      <c r="AA3" s="6" t="s">
        <v>120</v>
      </c>
      <c r="AB3" s="6" t="s">
        <v>121</v>
      </c>
      <c r="AC3" s="6" t="s">
        <v>122</v>
      </c>
      <c r="AD3" s="6" t="s">
        <v>123</v>
      </c>
      <c r="AE3" s="6" t="s">
        <v>52</v>
      </c>
    </row>
    <row r="4" customFormat="false" ht="35.05" hidden="false" customHeight="false" outlineLevel="0" collapsed="false">
      <c r="A4" s="6" t="s">
        <v>124</v>
      </c>
      <c r="B4" s="6" t="s">
        <v>125</v>
      </c>
      <c r="C4" s="6" t="s">
        <v>126</v>
      </c>
      <c r="D4" s="6" t="s">
        <v>93</v>
      </c>
      <c r="E4" s="6" t="s">
        <v>94</v>
      </c>
      <c r="F4" s="6" t="s">
        <v>26</v>
      </c>
      <c r="G4" s="6" t="s">
        <v>127</v>
      </c>
      <c r="H4" s="6" t="s">
        <v>28</v>
      </c>
      <c r="I4" s="6" t="s">
        <v>45</v>
      </c>
      <c r="J4" s="6" t="s">
        <v>48</v>
      </c>
      <c r="K4" s="6" t="s">
        <v>114</v>
      </c>
      <c r="L4" s="6" t="s">
        <v>128</v>
      </c>
      <c r="M4" s="6" t="s">
        <v>49</v>
      </c>
      <c r="N4" s="6" t="s">
        <v>129</v>
      </c>
      <c r="O4" s="6" t="s">
        <v>130</v>
      </c>
      <c r="P4" s="6" t="s">
        <v>131</v>
      </c>
      <c r="Q4" s="6" t="s">
        <v>101</v>
      </c>
      <c r="R4" s="6" t="s">
        <v>132</v>
      </c>
      <c r="S4" s="6" t="s">
        <v>103</v>
      </c>
      <c r="T4" s="6" t="s">
        <v>90</v>
      </c>
      <c r="U4" s="6" t="s">
        <v>133</v>
      </c>
      <c r="V4" s="6" t="s">
        <v>134</v>
      </c>
      <c r="W4" s="6" t="n">
        <v>16</v>
      </c>
      <c r="X4" s="6" t="s">
        <v>34</v>
      </c>
      <c r="Y4" s="6" t="s">
        <v>106</v>
      </c>
      <c r="Z4" s="6" t="s">
        <v>41</v>
      </c>
      <c r="AA4" s="6" t="s">
        <v>120</v>
      </c>
      <c r="AB4" s="6" t="s">
        <v>135</v>
      </c>
      <c r="AC4" s="6" t="s">
        <v>136</v>
      </c>
      <c r="AD4" s="6" t="s">
        <v>137</v>
      </c>
      <c r="AE4" s="6" t="s">
        <v>52</v>
      </c>
    </row>
    <row r="5" customFormat="false" ht="23.85" hidden="false" customHeight="false" outlineLevel="0" collapsed="false">
      <c r="A5" s="6" t="s">
        <v>138</v>
      </c>
      <c r="B5" s="6" t="s">
        <v>139</v>
      </c>
      <c r="C5" s="6" t="s">
        <v>140</v>
      </c>
      <c r="D5" s="6" t="s">
        <v>93</v>
      </c>
      <c r="E5" s="6" t="s">
        <v>94</v>
      </c>
      <c r="F5" s="6" t="s">
        <v>26</v>
      </c>
      <c r="G5" s="6" t="s">
        <v>141</v>
      </c>
      <c r="H5" s="6" t="s">
        <v>28</v>
      </c>
      <c r="I5" s="6" t="s">
        <v>44</v>
      </c>
      <c r="J5" s="6" t="s">
        <v>49</v>
      </c>
      <c r="K5" s="6" t="s">
        <v>96</v>
      </c>
      <c r="L5" s="6" t="s">
        <v>142</v>
      </c>
      <c r="M5" s="6" t="s">
        <v>49</v>
      </c>
      <c r="N5" s="6" t="s">
        <v>143</v>
      </c>
      <c r="O5" s="6" t="s">
        <v>144</v>
      </c>
      <c r="P5" s="6" t="s">
        <v>145</v>
      </c>
      <c r="Q5" s="6" t="s">
        <v>146</v>
      </c>
      <c r="R5" s="6" t="s">
        <v>132</v>
      </c>
      <c r="S5" s="6" t="s">
        <v>147</v>
      </c>
      <c r="T5" s="6" t="s">
        <v>124</v>
      </c>
      <c r="U5" s="6" t="s">
        <v>148</v>
      </c>
      <c r="V5" s="6" t="s">
        <v>149</v>
      </c>
      <c r="W5" s="6" t="n">
        <v>4</v>
      </c>
      <c r="X5" s="6" t="s">
        <v>33</v>
      </c>
      <c r="Y5" s="6" t="s">
        <v>106</v>
      </c>
      <c r="Z5" s="6" t="s">
        <v>42</v>
      </c>
      <c r="AA5" s="6" t="s">
        <v>150</v>
      </c>
      <c r="AB5" s="6" t="s">
        <v>151</v>
      </c>
      <c r="AC5" s="6"/>
      <c r="AD5" s="6" t="s">
        <v>152</v>
      </c>
      <c r="AE5" s="6" t="s">
        <v>52</v>
      </c>
    </row>
    <row r="6" customFormat="false" ht="35.05" hidden="false" customHeight="false" outlineLevel="0" collapsed="false">
      <c r="A6" s="6" t="s">
        <v>153</v>
      </c>
      <c r="B6" s="6" t="s">
        <v>154</v>
      </c>
      <c r="C6" s="6" t="s">
        <v>155</v>
      </c>
      <c r="D6" s="6" t="s">
        <v>93</v>
      </c>
      <c r="E6" s="6" t="s">
        <v>94</v>
      </c>
      <c r="F6" s="6" t="s">
        <v>26</v>
      </c>
      <c r="G6" s="6" t="s">
        <v>141</v>
      </c>
      <c r="H6" s="6" t="s">
        <v>28</v>
      </c>
      <c r="I6" s="6" t="s">
        <v>46</v>
      </c>
      <c r="J6" s="6" t="s">
        <v>49</v>
      </c>
      <c r="K6" s="6" t="s">
        <v>114</v>
      </c>
      <c r="L6" s="6" t="s">
        <v>156</v>
      </c>
      <c r="M6" s="6" t="s">
        <v>49</v>
      </c>
      <c r="N6" s="6" t="s">
        <v>157</v>
      </c>
      <c r="O6" s="6" t="s">
        <v>158</v>
      </c>
      <c r="P6" s="6" t="s">
        <v>159</v>
      </c>
      <c r="Q6" s="6" t="s">
        <v>101</v>
      </c>
      <c r="R6" s="6" t="s">
        <v>132</v>
      </c>
      <c r="S6" s="6" t="s">
        <v>103</v>
      </c>
      <c r="T6" s="6" t="s">
        <v>124</v>
      </c>
      <c r="U6" s="6"/>
      <c r="V6" s="6" t="s">
        <v>134</v>
      </c>
      <c r="W6" s="6" t="n">
        <v>17</v>
      </c>
      <c r="X6" s="6" t="s">
        <v>34</v>
      </c>
      <c r="Y6" s="6" t="s">
        <v>106</v>
      </c>
      <c r="Z6" s="6" t="s">
        <v>40</v>
      </c>
      <c r="AA6" s="6" t="s">
        <v>160</v>
      </c>
      <c r="AB6" s="6" t="s">
        <v>135</v>
      </c>
      <c r="AC6" s="6" t="s">
        <v>124</v>
      </c>
      <c r="AD6" s="6" t="s">
        <v>161</v>
      </c>
      <c r="AE6" s="6" t="s">
        <v>52</v>
      </c>
    </row>
    <row r="7" customFormat="false" ht="23.85" hidden="false" customHeight="false" outlineLevel="0" collapsed="false">
      <c r="A7" s="6" t="s">
        <v>162</v>
      </c>
      <c r="B7" s="6" t="s">
        <v>163</v>
      </c>
      <c r="C7" s="6" t="s">
        <v>164</v>
      </c>
      <c r="D7" s="6" t="s">
        <v>93</v>
      </c>
      <c r="E7" s="6" t="s">
        <v>165</v>
      </c>
      <c r="F7" s="6" t="s">
        <v>22</v>
      </c>
      <c r="G7" s="6" t="s">
        <v>166</v>
      </c>
      <c r="H7" s="6" t="s">
        <v>28</v>
      </c>
      <c r="I7" s="6" t="s">
        <v>44</v>
      </c>
      <c r="J7" s="6" t="s">
        <v>49</v>
      </c>
      <c r="K7" s="6" t="s">
        <v>96</v>
      </c>
      <c r="L7" s="6" t="s">
        <v>167</v>
      </c>
      <c r="M7" s="6" t="s">
        <v>49</v>
      </c>
      <c r="N7" s="6" t="s">
        <v>168</v>
      </c>
      <c r="O7" s="6" t="s">
        <v>169</v>
      </c>
      <c r="P7" s="6" t="s">
        <v>170</v>
      </c>
      <c r="Q7" s="6" t="s">
        <v>171</v>
      </c>
      <c r="R7" s="6" t="s">
        <v>102</v>
      </c>
      <c r="S7" s="6" t="s">
        <v>103</v>
      </c>
      <c r="T7" s="6" t="s">
        <v>90</v>
      </c>
      <c r="U7" s="6" t="s">
        <v>172</v>
      </c>
      <c r="V7" s="6" t="s">
        <v>105</v>
      </c>
      <c r="W7" s="6" t="n">
        <v>29</v>
      </c>
      <c r="X7" s="6" t="s">
        <v>34</v>
      </c>
      <c r="Y7" s="6" t="s">
        <v>106</v>
      </c>
      <c r="Z7" s="6" t="s">
        <v>42</v>
      </c>
      <c r="AA7" s="6" t="s">
        <v>173</v>
      </c>
      <c r="AB7" s="6" t="s">
        <v>174</v>
      </c>
      <c r="AC7" s="6" t="s">
        <v>175</v>
      </c>
      <c r="AD7" s="6" t="s">
        <v>176</v>
      </c>
      <c r="AE7" s="6" t="s">
        <v>52</v>
      </c>
    </row>
    <row r="8" customFormat="false" ht="35.05" hidden="false" customHeight="false" outlineLevel="0" collapsed="false">
      <c r="A8" s="6" t="s">
        <v>172</v>
      </c>
      <c r="B8" s="6" t="s">
        <v>177</v>
      </c>
      <c r="C8" s="6" t="s">
        <v>178</v>
      </c>
      <c r="D8" s="6" t="s">
        <v>93</v>
      </c>
      <c r="E8" s="6" t="s">
        <v>165</v>
      </c>
      <c r="F8" s="6" t="s">
        <v>23</v>
      </c>
      <c r="G8" s="6" t="s">
        <v>179</v>
      </c>
      <c r="H8" s="6" t="s">
        <v>28</v>
      </c>
      <c r="I8" s="6" t="s">
        <v>44</v>
      </c>
      <c r="J8" s="6" t="s">
        <v>49</v>
      </c>
      <c r="K8" s="6" t="s">
        <v>96</v>
      </c>
      <c r="L8" s="6" t="s">
        <v>180</v>
      </c>
      <c r="M8" s="6" t="s">
        <v>49</v>
      </c>
      <c r="N8" s="6" t="s">
        <v>181</v>
      </c>
      <c r="O8" s="6" t="s">
        <v>182</v>
      </c>
      <c r="P8" s="6" t="s">
        <v>183</v>
      </c>
      <c r="Q8" s="6" t="s">
        <v>101</v>
      </c>
      <c r="R8" s="6" t="s">
        <v>184</v>
      </c>
      <c r="S8" s="6" t="s">
        <v>103</v>
      </c>
      <c r="T8" s="6" t="s">
        <v>185</v>
      </c>
      <c r="U8" s="6" t="s">
        <v>186</v>
      </c>
      <c r="V8" s="6" t="s">
        <v>105</v>
      </c>
      <c r="W8" s="6" t="n">
        <v>30</v>
      </c>
      <c r="X8" s="6" t="s">
        <v>34</v>
      </c>
      <c r="Y8" s="6" t="s">
        <v>106</v>
      </c>
      <c r="Z8" s="6" t="s">
        <v>41</v>
      </c>
      <c r="AA8" s="6" t="s">
        <v>120</v>
      </c>
      <c r="AB8" s="6" t="s">
        <v>187</v>
      </c>
      <c r="AC8" s="6" t="s">
        <v>185</v>
      </c>
      <c r="AD8" s="6" t="s">
        <v>188</v>
      </c>
      <c r="AE8" s="6" t="s">
        <v>52</v>
      </c>
    </row>
    <row r="9" customFormat="false" ht="35.05" hidden="false" customHeight="false" outlineLevel="0" collapsed="false">
      <c r="A9" s="6" t="s">
        <v>186</v>
      </c>
      <c r="B9" s="6" t="s">
        <v>189</v>
      </c>
      <c r="C9" s="6" t="s">
        <v>190</v>
      </c>
      <c r="D9" s="6" t="s">
        <v>93</v>
      </c>
      <c r="E9" s="6" t="s">
        <v>165</v>
      </c>
      <c r="F9" s="6" t="s">
        <v>25</v>
      </c>
      <c r="G9" s="6" t="s">
        <v>191</v>
      </c>
      <c r="H9" s="6" t="s">
        <v>28</v>
      </c>
      <c r="I9" s="6" t="s">
        <v>44</v>
      </c>
      <c r="J9" s="6" t="s">
        <v>48</v>
      </c>
      <c r="K9" s="6" t="s">
        <v>192</v>
      </c>
      <c r="L9" s="6" t="s">
        <v>193</v>
      </c>
      <c r="M9" s="6" t="s">
        <v>48</v>
      </c>
      <c r="N9" s="6" t="s">
        <v>194</v>
      </c>
      <c r="O9" s="6" t="s">
        <v>195</v>
      </c>
      <c r="P9" s="6" t="s">
        <v>196</v>
      </c>
      <c r="Q9" s="6" t="s">
        <v>101</v>
      </c>
      <c r="R9" s="6" t="s">
        <v>132</v>
      </c>
      <c r="S9" s="6" t="s">
        <v>103</v>
      </c>
      <c r="T9" s="6" t="s">
        <v>172</v>
      </c>
      <c r="U9" s="6" t="s">
        <v>197</v>
      </c>
      <c r="V9" s="6" t="s">
        <v>198</v>
      </c>
      <c r="W9" s="6" t="n">
        <v>31</v>
      </c>
      <c r="X9" s="6" t="s">
        <v>34</v>
      </c>
      <c r="Y9" s="6" t="s">
        <v>106</v>
      </c>
      <c r="Z9" s="6" t="s">
        <v>42</v>
      </c>
      <c r="AA9" s="6" t="s">
        <v>120</v>
      </c>
      <c r="AB9" s="6" t="s">
        <v>199</v>
      </c>
      <c r="AC9" s="6" t="s">
        <v>172</v>
      </c>
      <c r="AD9" s="6" t="s">
        <v>200</v>
      </c>
      <c r="AE9" s="6" t="s">
        <v>52</v>
      </c>
    </row>
    <row r="10" customFormat="false" ht="35.05" hidden="false" customHeight="false" outlineLevel="0" collapsed="false">
      <c r="A10" s="6" t="s">
        <v>201</v>
      </c>
      <c r="B10" s="6" t="s">
        <v>202</v>
      </c>
      <c r="C10" s="6" t="s">
        <v>203</v>
      </c>
      <c r="D10" s="6" t="s">
        <v>93</v>
      </c>
      <c r="E10" s="6" t="s">
        <v>165</v>
      </c>
      <c r="F10" s="6" t="s">
        <v>26</v>
      </c>
      <c r="G10" s="6" t="s">
        <v>204</v>
      </c>
      <c r="H10" s="6" t="s">
        <v>28</v>
      </c>
      <c r="I10" s="6" t="s">
        <v>45</v>
      </c>
      <c r="J10" s="6" t="s">
        <v>49</v>
      </c>
      <c r="K10" s="6" t="s">
        <v>114</v>
      </c>
      <c r="L10" s="6" t="s">
        <v>205</v>
      </c>
      <c r="M10" s="6" t="s">
        <v>49</v>
      </c>
      <c r="N10" s="6" t="s">
        <v>206</v>
      </c>
      <c r="O10" s="6" t="s">
        <v>207</v>
      </c>
      <c r="P10" s="6" t="s">
        <v>208</v>
      </c>
      <c r="Q10" s="6" t="s">
        <v>101</v>
      </c>
      <c r="R10" s="6" t="s">
        <v>209</v>
      </c>
      <c r="S10" s="6" t="s">
        <v>103</v>
      </c>
      <c r="T10" s="6" t="s">
        <v>186</v>
      </c>
      <c r="U10" s="6"/>
      <c r="V10" s="6" t="s">
        <v>210</v>
      </c>
      <c r="W10" s="6" t="n">
        <v>41</v>
      </c>
      <c r="X10" s="6" t="s">
        <v>35</v>
      </c>
      <c r="Y10" s="6" t="s">
        <v>106</v>
      </c>
      <c r="Z10" s="6" t="s">
        <v>40</v>
      </c>
      <c r="AA10" s="6" t="s">
        <v>160</v>
      </c>
      <c r="AB10" s="6"/>
      <c r="AC10" s="6" t="s">
        <v>186</v>
      </c>
      <c r="AD10" s="6" t="s">
        <v>211</v>
      </c>
      <c r="AE10" s="6" t="s">
        <v>52</v>
      </c>
    </row>
    <row r="11" customFormat="false" ht="35.05" hidden="false" customHeight="false" outlineLevel="0" collapsed="false">
      <c r="A11" s="6" t="s">
        <v>212</v>
      </c>
      <c r="B11" s="6" t="s">
        <v>213</v>
      </c>
      <c r="C11" s="6" t="s">
        <v>214</v>
      </c>
      <c r="D11" s="6" t="s">
        <v>93</v>
      </c>
      <c r="E11" s="6" t="s">
        <v>215</v>
      </c>
      <c r="F11" s="6" t="s">
        <v>22</v>
      </c>
      <c r="G11" s="6" t="s">
        <v>95</v>
      </c>
      <c r="H11" s="6" t="s">
        <v>28</v>
      </c>
      <c r="I11" s="6" t="s">
        <v>44</v>
      </c>
      <c r="J11" s="6" t="s">
        <v>49</v>
      </c>
      <c r="K11" s="6" t="s">
        <v>96</v>
      </c>
      <c r="L11" s="6" t="s">
        <v>216</v>
      </c>
      <c r="M11" s="6" t="s">
        <v>49</v>
      </c>
      <c r="N11" s="6" t="s">
        <v>217</v>
      </c>
      <c r="O11" s="6" t="s">
        <v>218</v>
      </c>
      <c r="P11" s="6" t="s">
        <v>219</v>
      </c>
      <c r="Q11" s="6" t="s">
        <v>101</v>
      </c>
      <c r="R11" s="6" t="s">
        <v>184</v>
      </c>
      <c r="S11" s="6" t="s">
        <v>103</v>
      </c>
      <c r="T11" s="6" t="s">
        <v>90</v>
      </c>
      <c r="U11" s="6" t="s">
        <v>220</v>
      </c>
      <c r="V11" s="6" t="s">
        <v>105</v>
      </c>
      <c r="W11" s="6" t="n">
        <v>2</v>
      </c>
      <c r="X11" s="6" t="s">
        <v>33</v>
      </c>
      <c r="Y11" s="6" t="s">
        <v>106</v>
      </c>
      <c r="Z11" s="6" t="s">
        <v>40</v>
      </c>
      <c r="AA11" s="6" t="s">
        <v>160</v>
      </c>
      <c r="AB11" s="6" t="s">
        <v>221</v>
      </c>
      <c r="AC11" s="6" t="s">
        <v>90</v>
      </c>
      <c r="AD11" s="6" t="s">
        <v>222</v>
      </c>
      <c r="AE11" s="6" t="s">
        <v>52</v>
      </c>
    </row>
    <row r="12" customFormat="false" ht="35.05" hidden="false" customHeight="false" outlineLevel="0" collapsed="false">
      <c r="A12" s="6" t="s">
        <v>223</v>
      </c>
      <c r="B12" s="6" t="s">
        <v>224</v>
      </c>
      <c r="C12" s="6" t="s">
        <v>225</v>
      </c>
      <c r="D12" s="6" t="s">
        <v>93</v>
      </c>
      <c r="E12" s="6" t="s">
        <v>215</v>
      </c>
      <c r="F12" s="6" t="s">
        <v>26</v>
      </c>
      <c r="G12" s="6" t="s">
        <v>141</v>
      </c>
      <c r="H12" s="6" t="s">
        <v>28</v>
      </c>
      <c r="I12" s="6" t="s">
        <v>44</v>
      </c>
      <c r="J12" s="6" t="s">
        <v>49</v>
      </c>
      <c r="K12" s="6" t="s">
        <v>192</v>
      </c>
      <c r="L12" s="6" t="s">
        <v>226</v>
      </c>
      <c r="M12" s="6" t="s">
        <v>49</v>
      </c>
      <c r="N12" s="6" t="s">
        <v>227</v>
      </c>
      <c r="O12" s="6" t="s">
        <v>228</v>
      </c>
      <c r="P12" s="6" t="s">
        <v>229</v>
      </c>
      <c r="Q12" s="6" t="s">
        <v>101</v>
      </c>
      <c r="R12" s="6" t="s">
        <v>230</v>
      </c>
      <c r="S12" s="6" t="s">
        <v>103</v>
      </c>
      <c r="T12" s="6" t="s">
        <v>90</v>
      </c>
      <c r="U12" s="6" t="s">
        <v>231</v>
      </c>
      <c r="V12" s="6" t="s">
        <v>232</v>
      </c>
      <c r="W12" s="6" t="n">
        <v>3</v>
      </c>
      <c r="X12" s="6" t="s">
        <v>33</v>
      </c>
      <c r="Y12" s="6" t="s">
        <v>106</v>
      </c>
      <c r="Z12" s="6" t="s">
        <v>41</v>
      </c>
      <c r="AA12" s="6" t="s">
        <v>107</v>
      </c>
      <c r="AB12" s="6" t="s">
        <v>221</v>
      </c>
      <c r="AC12" s="6" t="s">
        <v>212</v>
      </c>
      <c r="AD12" s="6" t="s">
        <v>233</v>
      </c>
      <c r="AE12" s="6" t="s">
        <v>52</v>
      </c>
    </row>
    <row r="13" customFormat="false" ht="23.85" hidden="false" customHeight="false" outlineLevel="0" collapsed="false">
      <c r="A13" s="6" t="s">
        <v>231</v>
      </c>
      <c r="B13" s="6" t="s">
        <v>234</v>
      </c>
      <c r="C13" s="6" t="s">
        <v>235</v>
      </c>
      <c r="D13" s="6" t="s">
        <v>93</v>
      </c>
      <c r="E13" s="6" t="s">
        <v>215</v>
      </c>
      <c r="F13" s="6" t="s">
        <v>26</v>
      </c>
      <c r="G13" s="6" t="s">
        <v>236</v>
      </c>
      <c r="H13" s="6" t="s">
        <v>28</v>
      </c>
      <c r="I13" s="6" t="s">
        <v>46</v>
      </c>
      <c r="J13" s="6" t="s">
        <v>50</v>
      </c>
      <c r="K13" s="6" t="s">
        <v>96</v>
      </c>
      <c r="L13" s="6" t="s">
        <v>237</v>
      </c>
      <c r="M13" s="6" t="s">
        <v>50</v>
      </c>
      <c r="N13" s="6" t="s">
        <v>238</v>
      </c>
      <c r="O13" s="6" t="s">
        <v>239</v>
      </c>
      <c r="P13" s="6" t="s">
        <v>240</v>
      </c>
      <c r="Q13" s="6" t="s">
        <v>241</v>
      </c>
      <c r="R13" s="6" t="s">
        <v>230</v>
      </c>
      <c r="S13" s="6" t="s">
        <v>103</v>
      </c>
      <c r="T13" s="6" t="s">
        <v>223</v>
      </c>
      <c r="U13" s="6"/>
      <c r="V13" s="6" t="s">
        <v>242</v>
      </c>
      <c r="W13" s="6" t="n">
        <v>134</v>
      </c>
      <c r="X13" s="6" t="s">
        <v>38</v>
      </c>
      <c r="Y13" s="6" t="s">
        <v>106</v>
      </c>
      <c r="Z13" s="6" t="s">
        <v>40</v>
      </c>
      <c r="AA13" s="6" t="s">
        <v>243</v>
      </c>
      <c r="AB13" s="6"/>
      <c r="AC13" s="6" t="s">
        <v>223</v>
      </c>
      <c r="AD13" s="6" t="s">
        <v>244</v>
      </c>
      <c r="AE13" s="6" t="s">
        <v>52</v>
      </c>
    </row>
    <row r="14" customFormat="false" ht="35.05" hidden="false" customHeight="false" outlineLevel="0" collapsed="false">
      <c r="A14" s="6" t="s">
        <v>245</v>
      </c>
      <c r="B14" s="6" t="s">
        <v>246</v>
      </c>
      <c r="C14" s="6" t="s">
        <v>247</v>
      </c>
      <c r="D14" s="6" t="s">
        <v>93</v>
      </c>
      <c r="E14" s="6" t="s">
        <v>215</v>
      </c>
      <c r="F14" s="6" t="s">
        <v>25</v>
      </c>
      <c r="G14" s="6" t="s">
        <v>248</v>
      </c>
      <c r="H14" s="6" t="s">
        <v>28</v>
      </c>
      <c r="I14" s="6" t="s">
        <v>45</v>
      </c>
      <c r="J14" s="6" t="s">
        <v>49</v>
      </c>
      <c r="K14" s="6" t="s">
        <v>114</v>
      </c>
      <c r="L14" s="6" t="s">
        <v>249</v>
      </c>
      <c r="M14" s="6" t="s">
        <v>49</v>
      </c>
      <c r="N14" s="6" t="s">
        <v>250</v>
      </c>
      <c r="O14" s="6" t="s">
        <v>251</v>
      </c>
      <c r="P14" s="6" t="s">
        <v>252</v>
      </c>
      <c r="Q14" s="6" t="s">
        <v>101</v>
      </c>
      <c r="R14" s="6" t="s">
        <v>253</v>
      </c>
      <c r="S14" s="6" t="s">
        <v>103</v>
      </c>
      <c r="T14" s="6" t="s">
        <v>110</v>
      </c>
      <c r="U14" s="6"/>
      <c r="V14" s="6" t="s">
        <v>105</v>
      </c>
      <c r="W14" s="6" t="n">
        <v>39</v>
      </c>
      <c r="X14" s="6" t="s">
        <v>35</v>
      </c>
      <c r="Y14" s="6" t="s">
        <v>106</v>
      </c>
      <c r="Z14" s="6" t="s">
        <v>41</v>
      </c>
      <c r="AA14" s="6" t="s">
        <v>254</v>
      </c>
      <c r="AB14" s="6" t="s">
        <v>255</v>
      </c>
      <c r="AC14" s="6" t="s">
        <v>110</v>
      </c>
      <c r="AD14" s="6" t="s">
        <v>256</v>
      </c>
      <c r="AE14" s="6" t="s">
        <v>52</v>
      </c>
    </row>
    <row r="15" customFormat="false" ht="23.85" hidden="false" customHeight="false" outlineLevel="0" collapsed="false">
      <c r="A15" s="6" t="s">
        <v>257</v>
      </c>
      <c r="B15" s="6" t="s">
        <v>258</v>
      </c>
      <c r="C15" s="6" t="s">
        <v>259</v>
      </c>
      <c r="D15" s="6" t="s">
        <v>93</v>
      </c>
      <c r="E15" s="6" t="s">
        <v>215</v>
      </c>
      <c r="F15" s="6" t="s">
        <v>24</v>
      </c>
      <c r="G15" s="6" t="s">
        <v>260</v>
      </c>
      <c r="H15" s="6" t="s">
        <v>29</v>
      </c>
      <c r="I15" s="6" t="s">
        <v>44</v>
      </c>
      <c r="J15" s="6" t="s">
        <v>49</v>
      </c>
      <c r="K15" s="6" t="s">
        <v>96</v>
      </c>
      <c r="L15" s="6" t="s">
        <v>261</v>
      </c>
      <c r="M15" s="6" t="s">
        <v>49</v>
      </c>
      <c r="N15" s="6" t="s">
        <v>262</v>
      </c>
      <c r="O15" s="6" t="s">
        <v>263</v>
      </c>
      <c r="P15" s="6" t="s">
        <v>264</v>
      </c>
      <c r="Q15" s="6" t="s">
        <v>241</v>
      </c>
      <c r="R15" s="6" t="s">
        <v>132</v>
      </c>
      <c r="S15" s="6" t="s">
        <v>103</v>
      </c>
      <c r="T15" s="6" t="s">
        <v>265</v>
      </c>
      <c r="U15" s="6" t="s">
        <v>266</v>
      </c>
      <c r="V15" s="6" t="s">
        <v>29</v>
      </c>
      <c r="W15" s="6" t="n">
        <v>51</v>
      </c>
      <c r="X15" s="6" t="s">
        <v>35</v>
      </c>
      <c r="Y15" s="6" t="s">
        <v>106</v>
      </c>
      <c r="Z15" s="6" t="s">
        <v>40</v>
      </c>
      <c r="AA15" s="6" t="s">
        <v>243</v>
      </c>
      <c r="AB15" s="6" t="s">
        <v>267</v>
      </c>
      <c r="AC15" s="6" t="s">
        <v>265</v>
      </c>
      <c r="AD15" s="6" t="s">
        <v>268</v>
      </c>
      <c r="AE15" s="6" t="s">
        <v>52</v>
      </c>
    </row>
    <row r="16" customFormat="false" ht="35.05" hidden="false" customHeight="false" outlineLevel="0" collapsed="false">
      <c r="A16" s="6" t="s">
        <v>269</v>
      </c>
      <c r="B16" s="6" t="s">
        <v>270</v>
      </c>
      <c r="C16" s="6" t="s">
        <v>271</v>
      </c>
      <c r="D16" s="6" t="s">
        <v>93</v>
      </c>
      <c r="E16" s="6" t="s">
        <v>215</v>
      </c>
      <c r="F16" s="6" t="s">
        <v>26</v>
      </c>
      <c r="G16" s="6" t="s">
        <v>204</v>
      </c>
      <c r="H16" s="6" t="s">
        <v>29</v>
      </c>
      <c r="I16" s="6" t="s">
        <v>44</v>
      </c>
      <c r="J16" s="6" t="s">
        <v>49</v>
      </c>
      <c r="K16" s="6" t="s">
        <v>96</v>
      </c>
      <c r="L16" s="6" t="s">
        <v>272</v>
      </c>
      <c r="M16" s="6" t="s">
        <v>49</v>
      </c>
      <c r="N16" s="6" t="s">
        <v>273</v>
      </c>
      <c r="O16" s="6" t="s">
        <v>274</v>
      </c>
      <c r="P16" s="6" t="s">
        <v>275</v>
      </c>
      <c r="Q16" s="6" t="s">
        <v>146</v>
      </c>
      <c r="R16" s="6" t="s">
        <v>146</v>
      </c>
      <c r="S16" s="6" t="s">
        <v>103</v>
      </c>
      <c r="T16" s="6" t="s">
        <v>257</v>
      </c>
      <c r="U16" s="6"/>
      <c r="V16" s="6" t="s">
        <v>276</v>
      </c>
      <c r="W16" s="6" t="n">
        <v>52</v>
      </c>
      <c r="X16" s="6" t="s">
        <v>35</v>
      </c>
      <c r="Y16" s="6" t="s">
        <v>106</v>
      </c>
      <c r="Z16" s="6" t="s">
        <v>41</v>
      </c>
      <c r="AA16" s="6" t="s">
        <v>277</v>
      </c>
      <c r="AB16" s="6"/>
      <c r="AC16" s="6" t="s">
        <v>257</v>
      </c>
      <c r="AD16" s="6" t="s">
        <v>278</v>
      </c>
      <c r="AE16" s="6" t="s">
        <v>52</v>
      </c>
    </row>
    <row r="17" customFormat="false" ht="23.85" hidden="false" customHeight="false" outlineLevel="0" collapsed="false">
      <c r="A17" s="6" t="s">
        <v>279</v>
      </c>
      <c r="B17" s="6" t="s">
        <v>280</v>
      </c>
      <c r="C17" s="6" t="s">
        <v>281</v>
      </c>
      <c r="D17" s="6" t="s">
        <v>93</v>
      </c>
      <c r="E17" s="6" t="s">
        <v>215</v>
      </c>
      <c r="F17" s="6" t="s">
        <v>26</v>
      </c>
      <c r="G17" s="6" t="s">
        <v>204</v>
      </c>
      <c r="H17" s="6" t="s">
        <v>29</v>
      </c>
      <c r="I17" s="6" t="s">
        <v>44</v>
      </c>
      <c r="J17" s="6" t="s">
        <v>49</v>
      </c>
      <c r="K17" s="6" t="s">
        <v>96</v>
      </c>
      <c r="L17" s="6" t="s">
        <v>282</v>
      </c>
      <c r="M17" s="6" t="s">
        <v>49</v>
      </c>
      <c r="N17" s="6" t="s">
        <v>283</v>
      </c>
      <c r="O17" s="6" t="s">
        <v>284</v>
      </c>
      <c r="P17" s="6" t="s">
        <v>285</v>
      </c>
      <c r="Q17" s="6" t="s">
        <v>241</v>
      </c>
      <c r="R17" s="6" t="s">
        <v>241</v>
      </c>
      <c r="S17" s="6" t="s">
        <v>103</v>
      </c>
      <c r="T17" s="6" t="s">
        <v>257</v>
      </c>
      <c r="U17" s="6"/>
      <c r="V17" s="6" t="s">
        <v>242</v>
      </c>
      <c r="W17" s="6" t="n">
        <v>53</v>
      </c>
      <c r="X17" s="6" t="s">
        <v>35</v>
      </c>
      <c r="Y17" s="6" t="s">
        <v>106</v>
      </c>
      <c r="Z17" s="6" t="s">
        <v>40</v>
      </c>
      <c r="AA17" s="6" t="s">
        <v>286</v>
      </c>
      <c r="AB17" s="6"/>
      <c r="AC17" s="6" t="s">
        <v>257</v>
      </c>
      <c r="AD17" s="6" t="s">
        <v>287</v>
      </c>
      <c r="AE17" s="6" t="s">
        <v>52</v>
      </c>
    </row>
    <row r="18" customFormat="false" ht="113.4" hidden="false" customHeight="false" outlineLevel="0" collapsed="false">
      <c r="A18" s="6" t="s">
        <v>265</v>
      </c>
      <c r="B18" s="6" t="s">
        <v>288</v>
      </c>
      <c r="C18" s="6" t="s">
        <v>289</v>
      </c>
      <c r="D18" s="6" t="s">
        <v>93</v>
      </c>
      <c r="E18" s="6" t="s">
        <v>290</v>
      </c>
      <c r="F18" s="6" t="s">
        <v>23</v>
      </c>
      <c r="G18" s="6" t="s">
        <v>179</v>
      </c>
      <c r="H18" s="6" t="s">
        <v>28</v>
      </c>
      <c r="I18" s="6" t="s">
        <v>44</v>
      </c>
      <c r="J18" s="6" t="s">
        <v>48</v>
      </c>
      <c r="K18" s="6" t="s">
        <v>114</v>
      </c>
      <c r="L18" s="6" t="s">
        <v>291</v>
      </c>
      <c r="M18" s="6" t="s">
        <v>49</v>
      </c>
      <c r="N18" s="6" t="s">
        <v>292</v>
      </c>
      <c r="O18" s="6" t="s">
        <v>293</v>
      </c>
      <c r="P18" s="6" t="s">
        <v>294</v>
      </c>
      <c r="Q18" s="6" t="s">
        <v>101</v>
      </c>
      <c r="R18" s="6" t="s">
        <v>184</v>
      </c>
      <c r="S18" s="6" t="s">
        <v>103</v>
      </c>
      <c r="T18" s="6" t="s">
        <v>90</v>
      </c>
      <c r="U18" s="6" t="s">
        <v>295</v>
      </c>
      <c r="V18" s="6" t="s">
        <v>105</v>
      </c>
      <c r="W18" s="6" t="n">
        <v>5</v>
      </c>
      <c r="X18" s="6" t="s">
        <v>33</v>
      </c>
      <c r="Y18" s="6" t="s">
        <v>106</v>
      </c>
      <c r="Z18" s="6" t="s">
        <v>41</v>
      </c>
      <c r="AA18" s="6" t="s">
        <v>120</v>
      </c>
      <c r="AB18" s="6" t="s">
        <v>296</v>
      </c>
      <c r="AC18" s="6" t="s">
        <v>136</v>
      </c>
      <c r="AD18" s="6" t="s">
        <v>297</v>
      </c>
      <c r="AE18" s="6" t="s">
        <v>52</v>
      </c>
    </row>
    <row r="19" customFormat="false" ht="35.05" hidden="false" customHeight="false" outlineLevel="0" collapsed="false">
      <c r="A19" s="6" t="s">
        <v>298</v>
      </c>
      <c r="B19" s="6" t="s">
        <v>299</v>
      </c>
      <c r="C19" s="6" t="s">
        <v>300</v>
      </c>
      <c r="D19" s="6" t="s">
        <v>93</v>
      </c>
      <c r="E19" s="6" t="s">
        <v>290</v>
      </c>
      <c r="F19" s="6" t="s">
        <v>25</v>
      </c>
      <c r="G19" s="6" t="s">
        <v>191</v>
      </c>
      <c r="H19" s="6" t="s">
        <v>28</v>
      </c>
      <c r="I19" s="6" t="s">
        <v>44</v>
      </c>
      <c r="J19" s="6" t="s">
        <v>49</v>
      </c>
      <c r="K19" s="6" t="s">
        <v>114</v>
      </c>
      <c r="L19" s="6" t="s">
        <v>301</v>
      </c>
      <c r="M19" s="6" t="s">
        <v>49</v>
      </c>
      <c r="N19" s="6" t="s">
        <v>302</v>
      </c>
      <c r="O19" s="6" t="s">
        <v>303</v>
      </c>
      <c r="P19" s="6" t="s">
        <v>304</v>
      </c>
      <c r="Q19" s="6" t="s">
        <v>101</v>
      </c>
      <c r="R19" s="6" t="s">
        <v>230</v>
      </c>
      <c r="S19" s="6" t="s">
        <v>103</v>
      </c>
      <c r="T19" s="6" t="s">
        <v>265</v>
      </c>
      <c r="U19" s="6"/>
      <c r="V19" s="6" t="s">
        <v>305</v>
      </c>
      <c r="W19" s="6" t="n">
        <v>6</v>
      </c>
      <c r="X19" s="6" t="s">
        <v>33</v>
      </c>
      <c r="Y19" s="6" t="s">
        <v>106</v>
      </c>
      <c r="Z19" s="6" t="s">
        <v>40</v>
      </c>
      <c r="AA19" s="6" t="s">
        <v>160</v>
      </c>
      <c r="AB19" s="6" t="s">
        <v>306</v>
      </c>
      <c r="AC19" s="6" t="s">
        <v>265</v>
      </c>
      <c r="AD19" s="6" t="s">
        <v>307</v>
      </c>
      <c r="AE19" s="6" t="s">
        <v>52</v>
      </c>
    </row>
    <row r="20" customFormat="false" ht="35.05" hidden="false" customHeight="false" outlineLevel="0" collapsed="false">
      <c r="A20" s="6" t="s">
        <v>308</v>
      </c>
      <c r="B20" s="6" t="s">
        <v>309</v>
      </c>
      <c r="C20" s="6" t="s">
        <v>310</v>
      </c>
      <c r="D20" s="6" t="s">
        <v>93</v>
      </c>
      <c r="E20" s="6" t="s">
        <v>290</v>
      </c>
      <c r="F20" s="6" t="s">
        <v>23</v>
      </c>
      <c r="G20" s="6" t="s">
        <v>179</v>
      </c>
      <c r="H20" s="6" t="s">
        <v>28</v>
      </c>
      <c r="I20" s="6" t="s">
        <v>44</v>
      </c>
      <c r="J20" s="6" t="s">
        <v>49</v>
      </c>
      <c r="K20" s="6" t="s">
        <v>96</v>
      </c>
      <c r="L20" s="6" t="s">
        <v>311</v>
      </c>
      <c r="M20" s="6" t="s">
        <v>49</v>
      </c>
      <c r="N20" s="6" t="s">
        <v>312</v>
      </c>
      <c r="O20" s="6" t="s">
        <v>313</v>
      </c>
      <c r="P20" s="6" t="s">
        <v>314</v>
      </c>
      <c r="Q20" s="6" t="s">
        <v>101</v>
      </c>
      <c r="R20" s="6" t="s">
        <v>184</v>
      </c>
      <c r="S20" s="6" t="s">
        <v>103</v>
      </c>
      <c r="T20" s="6" t="s">
        <v>265</v>
      </c>
      <c r="U20" s="6" t="s">
        <v>315</v>
      </c>
      <c r="V20" s="6" t="s">
        <v>29</v>
      </c>
      <c r="W20" s="6" t="n">
        <v>45</v>
      </c>
      <c r="X20" s="6" t="s">
        <v>35</v>
      </c>
      <c r="Y20" s="6" t="s">
        <v>106</v>
      </c>
      <c r="Z20" s="6" t="s">
        <v>40</v>
      </c>
      <c r="AA20" s="6" t="s">
        <v>316</v>
      </c>
      <c r="AB20" s="6" t="s">
        <v>187</v>
      </c>
      <c r="AC20" s="6" t="s">
        <v>265</v>
      </c>
      <c r="AD20" s="6" t="s">
        <v>317</v>
      </c>
      <c r="AE20" s="6" t="s">
        <v>52</v>
      </c>
    </row>
    <row r="21" customFormat="false" ht="35.05" hidden="false" customHeight="false" outlineLevel="0" collapsed="false">
      <c r="A21" s="6" t="s">
        <v>318</v>
      </c>
      <c r="B21" s="6" t="s">
        <v>319</v>
      </c>
      <c r="C21" s="6" t="s">
        <v>320</v>
      </c>
      <c r="D21" s="6" t="s">
        <v>93</v>
      </c>
      <c r="E21" s="6" t="s">
        <v>290</v>
      </c>
      <c r="F21" s="6" t="s">
        <v>23</v>
      </c>
      <c r="G21" s="6" t="s">
        <v>179</v>
      </c>
      <c r="H21" s="6" t="s">
        <v>28</v>
      </c>
      <c r="I21" s="6" t="s">
        <v>46</v>
      </c>
      <c r="J21" s="6" t="s">
        <v>50</v>
      </c>
      <c r="K21" s="6" t="s">
        <v>96</v>
      </c>
      <c r="L21" s="6" t="s">
        <v>321</v>
      </c>
      <c r="M21" s="6" t="s">
        <v>50</v>
      </c>
      <c r="N21" s="6" t="s">
        <v>322</v>
      </c>
      <c r="O21" s="6" t="s">
        <v>323</v>
      </c>
      <c r="P21" s="6" t="s">
        <v>314</v>
      </c>
      <c r="Q21" s="6" t="s">
        <v>101</v>
      </c>
      <c r="R21" s="6" t="s">
        <v>184</v>
      </c>
      <c r="S21" s="6" t="s">
        <v>103</v>
      </c>
      <c r="T21" s="6" t="s">
        <v>308</v>
      </c>
      <c r="U21" s="6"/>
      <c r="V21" s="6" t="s">
        <v>324</v>
      </c>
      <c r="W21" s="6" t="n">
        <v>135</v>
      </c>
      <c r="X21" s="6" t="s">
        <v>38</v>
      </c>
      <c r="Y21" s="6" t="s">
        <v>106</v>
      </c>
      <c r="Z21" s="6" t="s">
        <v>41</v>
      </c>
      <c r="AA21" s="6" t="s">
        <v>325</v>
      </c>
      <c r="AB21" s="6" t="s">
        <v>187</v>
      </c>
      <c r="AC21" s="6" t="s">
        <v>308</v>
      </c>
      <c r="AD21" s="6" t="s">
        <v>326</v>
      </c>
      <c r="AE21" s="6" t="s">
        <v>52</v>
      </c>
    </row>
    <row r="22" customFormat="false" ht="35.05" hidden="false" customHeight="false" outlineLevel="0" collapsed="false">
      <c r="A22" s="6" t="s">
        <v>327</v>
      </c>
      <c r="B22" s="6" t="s">
        <v>328</v>
      </c>
      <c r="C22" s="6" t="s">
        <v>329</v>
      </c>
      <c r="D22" s="6" t="s">
        <v>93</v>
      </c>
      <c r="E22" s="6" t="s">
        <v>290</v>
      </c>
      <c r="F22" s="6" t="s">
        <v>25</v>
      </c>
      <c r="G22" s="6" t="s">
        <v>191</v>
      </c>
      <c r="H22" s="6" t="s">
        <v>28</v>
      </c>
      <c r="I22" s="6" t="s">
        <v>44</v>
      </c>
      <c r="J22" s="6" t="s">
        <v>49</v>
      </c>
      <c r="K22" s="6" t="s">
        <v>96</v>
      </c>
      <c r="L22" s="6" t="s">
        <v>330</v>
      </c>
      <c r="M22" s="6" t="s">
        <v>49</v>
      </c>
      <c r="N22" s="6" t="s">
        <v>331</v>
      </c>
      <c r="O22" s="6" t="s">
        <v>332</v>
      </c>
      <c r="P22" s="6" t="s">
        <v>333</v>
      </c>
      <c r="Q22" s="6" t="s">
        <v>101</v>
      </c>
      <c r="R22" s="6" t="s">
        <v>230</v>
      </c>
      <c r="S22" s="6" t="s">
        <v>103</v>
      </c>
      <c r="T22" s="6" t="s">
        <v>265</v>
      </c>
      <c r="U22" s="6" t="s">
        <v>334</v>
      </c>
      <c r="V22" s="6" t="s">
        <v>305</v>
      </c>
      <c r="W22" s="6" t="n">
        <v>55</v>
      </c>
      <c r="X22" s="6" t="s">
        <v>35</v>
      </c>
      <c r="Y22" s="6" t="s">
        <v>106</v>
      </c>
      <c r="Z22" s="6" t="s">
        <v>40</v>
      </c>
      <c r="AA22" s="6" t="s">
        <v>160</v>
      </c>
      <c r="AB22" s="6"/>
      <c r="AC22" s="6" t="s">
        <v>265</v>
      </c>
      <c r="AD22" s="6" t="s">
        <v>335</v>
      </c>
      <c r="AE22" s="6" t="s">
        <v>52</v>
      </c>
    </row>
    <row r="23" customFormat="false" ht="35.05" hidden="false" customHeight="false" outlineLevel="0" collapsed="false">
      <c r="A23" s="6" t="s">
        <v>336</v>
      </c>
      <c r="B23" s="6" t="s">
        <v>337</v>
      </c>
      <c r="C23" s="6" t="s">
        <v>338</v>
      </c>
      <c r="D23" s="6" t="s">
        <v>93</v>
      </c>
      <c r="E23" s="6" t="s">
        <v>290</v>
      </c>
      <c r="F23" s="6" t="s">
        <v>26</v>
      </c>
      <c r="G23" s="6" t="s">
        <v>204</v>
      </c>
      <c r="H23" s="6" t="s">
        <v>28</v>
      </c>
      <c r="I23" s="6" t="s">
        <v>45</v>
      </c>
      <c r="J23" s="6" t="s">
        <v>49</v>
      </c>
      <c r="K23" s="6" t="s">
        <v>96</v>
      </c>
      <c r="L23" s="6" t="s">
        <v>330</v>
      </c>
      <c r="M23" s="6" t="s">
        <v>49</v>
      </c>
      <c r="N23" s="6" t="s">
        <v>339</v>
      </c>
      <c r="O23" s="6" t="s">
        <v>332</v>
      </c>
      <c r="P23" s="6" t="s">
        <v>340</v>
      </c>
      <c r="Q23" s="6" t="s">
        <v>101</v>
      </c>
      <c r="R23" s="6" t="s">
        <v>230</v>
      </c>
      <c r="S23" s="6" t="s">
        <v>103</v>
      </c>
      <c r="T23" s="6" t="s">
        <v>327</v>
      </c>
      <c r="U23" s="6"/>
      <c r="V23" s="6" t="s">
        <v>210</v>
      </c>
      <c r="W23" s="6" t="n">
        <v>56</v>
      </c>
      <c r="X23" s="6" t="s">
        <v>35</v>
      </c>
      <c r="Y23" s="6" t="s">
        <v>106</v>
      </c>
      <c r="Z23" s="6" t="s">
        <v>40</v>
      </c>
      <c r="AA23" s="6" t="s">
        <v>160</v>
      </c>
      <c r="AB23" s="6"/>
      <c r="AC23" s="6" t="s">
        <v>327</v>
      </c>
      <c r="AD23" s="6" t="s">
        <v>341</v>
      </c>
      <c r="AE23" s="6" t="s">
        <v>52</v>
      </c>
    </row>
    <row r="24" customFormat="false" ht="35.05" hidden="false" customHeight="false" outlineLevel="0" collapsed="false">
      <c r="A24" s="6" t="s">
        <v>342</v>
      </c>
      <c r="B24" s="6" t="s">
        <v>343</v>
      </c>
      <c r="C24" s="6" t="s">
        <v>344</v>
      </c>
      <c r="D24" s="6" t="s">
        <v>93</v>
      </c>
      <c r="E24" s="6" t="s">
        <v>290</v>
      </c>
      <c r="F24" s="6" t="s">
        <v>26</v>
      </c>
      <c r="G24" s="6" t="s">
        <v>141</v>
      </c>
      <c r="H24" s="6" t="s">
        <v>28</v>
      </c>
      <c r="I24" s="6" t="s">
        <v>45</v>
      </c>
      <c r="J24" s="6" t="s">
        <v>49</v>
      </c>
      <c r="K24" s="6" t="s">
        <v>96</v>
      </c>
      <c r="L24" s="6" t="s">
        <v>330</v>
      </c>
      <c r="M24" s="6" t="s">
        <v>49</v>
      </c>
      <c r="N24" s="6" t="s">
        <v>345</v>
      </c>
      <c r="O24" s="6" t="s">
        <v>332</v>
      </c>
      <c r="P24" s="6" t="s">
        <v>346</v>
      </c>
      <c r="Q24" s="6" t="s">
        <v>101</v>
      </c>
      <c r="R24" s="6" t="s">
        <v>132</v>
      </c>
      <c r="S24" s="6" t="s">
        <v>347</v>
      </c>
      <c r="T24" s="6" t="s">
        <v>327</v>
      </c>
      <c r="U24" s="6"/>
      <c r="V24" s="6" t="s">
        <v>210</v>
      </c>
      <c r="W24" s="6" t="n">
        <v>57</v>
      </c>
      <c r="X24" s="6" t="s">
        <v>35</v>
      </c>
      <c r="Y24" s="6" t="s">
        <v>106</v>
      </c>
      <c r="Z24" s="6" t="s">
        <v>40</v>
      </c>
      <c r="AA24" s="6" t="s">
        <v>160</v>
      </c>
      <c r="AB24" s="6"/>
      <c r="AC24" s="6" t="s">
        <v>327</v>
      </c>
      <c r="AD24" s="6" t="s">
        <v>348</v>
      </c>
      <c r="AE24" s="6" t="s">
        <v>52</v>
      </c>
    </row>
    <row r="25" customFormat="false" ht="35.05" hidden="false" customHeight="false" outlineLevel="0" collapsed="false">
      <c r="A25" s="6" t="s">
        <v>349</v>
      </c>
      <c r="B25" s="6" t="s">
        <v>350</v>
      </c>
      <c r="C25" s="6" t="s">
        <v>351</v>
      </c>
      <c r="D25" s="6" t="s">
        <v>93</v>
      </c>
      <c r="E25" s="6" t="s">
        <v>290</v>
      </c>
      <c r="F25" s="6" t="s">
        <v>26</v>
      </c>
      <c r="G25" s="6" t="s">
        <v>141</v>
      </c>
      <c r="H25" s="6" t="s">
        <v>28</v>
      </c>
      <c r="I25" s="6" t="s">
        <v>46</v>
      </c>
      <c r="J25" s="6" t="s">
        <v>48</v>
      </c>
      <c r="K25" s="6" t="s">
        <v>114</v>
      </c>
      <c r="L25" s="6" t="s">
        <v>352</v>
      </c>
      <c r="M25" s="6" t="s">
        <v>49</v>
      </c>
      <c r="N25" s="6" t="s">
        <v>353</v>
      </c>
      <c r="O25" s="6" t="s">
        <v>207</v>
      </c>
      <c r="P25" s="6" t="s">
        <v>354</v>
      </c>
      <c r="Q25" s="6" t="s">
        <v>101</v>
      </c>
      <c r="R25" s="6" t="s">
        <v>132</v>
      </c>
      <c r="S25" s="6" t="s">
        <v>103</v>
      </c>
      <c r="T25" s="6" t="s">
        <v>186</v>
      </c>
      <c r="U25" s="6"/>
      <c r="V25" s="6" t="s">
        <v>134</v>
      </c>
      <c r="W25" s="6" t="n">
        <v>42</v>
      </c>
      <c r="X25" s="6" t="s">
        <v>35</v>
      </c>
      <c r="Y25" s="6" t="s">
        <v>106</v>
      </c>
      <c r="Z25" s="6" t="s">
        <v>42</v>
      </c>
      <c r="AA25" s="6" t="s">
        <v>120</v>
      </c>
      <c r="AB25" s="6" t="s">
        <v>355</v>
      </c>
      <c r="AC25" s="6" t="s">
        <v>356</v>
      </c>
      <c r="AD25" s="6" t="s">
        <v>357</v>
      </c>
      <c r="AE25" s="6" t="s">
        <v>52</v>
      </c>
    </row>
    <row r="26" customFormat="false" ht="35.05" hidden="false" customHeight="false" outlineLevel="0" collapsed="false">
      <c r="A26" s="6" t="s">
        <v>148</v>
      </c>
      <c r="B26" s="6" t="s">
        <v>358</v>
      </c>
      <c r="C26" s="6" t="s">
        <v>359</v>
      </c>
      <c r="D26" s="6" t="s">
        <v>93</v>
      </c>
      <c r="E26" s="6" t="s">
        <v>290</v>
      </c>
      <c r="F26" s="6" t="s">
        <v>26</v>
      </c>
      <c r="G26" s="6" t="s">
        <v>141</v>
      </c>
      <c r="H26" s="6" t="s">
        <v>28</v>
      </c>
      <c r="I26" s="6" t="s">
        <v>46</v>
      </c>
      <c r="J26" s="6" t="s">
        <v>48</v>
      </c>
      <c r="K26" s="6" t="s">
        <v>360</v>
      </c>
      <c r="L26" s="6" t="s">
        <v>361</v>
      </c>
      <c r="M26" s="6" t="s">
        <v>48</v>
      </c>
      <c r="N26" s="6" t="s">
        <v>362</v>
      </c>
      <c r="O26" s="6" t="s">
        <v>363</v>
      </c>
      <c r="P26" s="6" t="s">
        <v>364</v>
      </c>
      <c r="Q26" s="6" t="s">
        <v>101</v>
      </c>
      <c r="R26" s="6" t="s">
        <v>132</v>
      </c>
      <c r="S26" s="6" t="s">
        <v>103</v>
      </c>
      <c r="T26" s="6" t="s">
        <v>138</v>
      </c>
      <c r="U26" s="6"/>
      <c r="V26" s="6" t="s">
        <v>365</v>
      </c>
      <c r="W26" s="6" t="n">
        <v>43</v>
      </c>
      <c r="X26" s="6" t="s">
        <v>35</v>
      </c>
      <c r="Y26" s="6" t="s">
        <v>106</v>
      </c>
      <c r="Z26" s="6" t="s">
        <v>42</v>
      </c>
      <c r="AA26" s="6" t="s">
        <v>366</v>
      </c>
      <c r="AB26" s="6" t="s">
        <v>367</v>
      </c>
      <c r="AC26" s="6" t="s">
        <v>138</v>
      </c>
      <c r="AD26" s="6" t="s">
        <v>368</v>
      </c>
      <c r="AE26" s="6" t="s">
        <v>52</v>
      </c>
    </row>
    <row r="27" customFormat="false" ht="35.05" hidden="false" customHeight="false" outlineLevel="0" collapsed="false">
      <c r="A27" s="6" t="s">
        <v>369</v>
      </c>
      <c r="B27" s="6" t="s">
        <v>370</v>
      </c>
      <c r="C27" s="6" t="s">
        <v>371</v>
      </c>
      <c r="D27" s="6" t="s">
        <v>93</v>
      </c>
      <c r="E27" s="6" t="s">
        <v>290</v>
      </c>
      <c r="F27" s="6" t="s">
        <v>23</v>
      </c>
      <c r="G27" s="6" t="s">
        <v>179</v>
      </c>
      <c r="H27" s="6" t="s">
        <v>28</v>
      </c>
      <c r="I27" s="6" t="s">
        <v>44</v>
      </c>
      <c r="J27" s="6" t="s">
        <v>49</v>
      </c>
      <c r="K27" s="6" t="s">
        <v>372</v>
      </c>
      <c r="L27" s="6" t="s">
        <v>373</v>
      </c>
      <c r="M27" s="6" t="s">
        <v>49</v>
      </c>
      <c r="N27" s="6" t="s">
        <v>362</v>
      </c>
      <c r="O27" s="6" t="s">
        <v>374</v>
      </c>
      <c r="P27" s="6" t="s">
        <v>375</v>
      </c>
      <c r="Q27" s="6" t="s">
        <v>376</v>
      </c>
      <c r="R27" s="6" t="s">
        <v>184</v>
      </c>
      <c r="S27" s="6" t="s">
        <v>103</v>
      </c>
      <c r="T27" s="6" t="s">
        <v>265</v>
      </c>
      <c r="U27" s="6" t="s">
        <v>377</v>
      </c>
      <c r="V27" s="6" t="s">
        <v>378</v>
      </c>
      <c r="W27" s="6" t="n">
        <v>24</v>
      </c>
      <c r="X27" s="6" t="s">
        <v>34</v>
      </c>
      <c r="Y27" s="6" t="s">
        <v>106</v>
      </c>
      <c r="Z27" s="6" t="s">
        <v>41</v>
      </c>
      <c r="AA27" s="6" t="s">
        <v>379</v>
      </c>
      <c r="AB27" s="6" t="s">
        <v>296</v>
      </c>
      <c r="AC27" s="6" t="s">
        <v>380</v>
      </c>
      <c r="AD27" s="6" t="s">
        <v>381</v>
      </c>
      <c r="AE27" s="6" t="s">
        <v>52</v>
      </c>
    </row>
    <row r="28" customFormat="false" ht="23.85" hidden="false" customHeight="false" outlineLevel="0" collapsed="false">
      <c r="A28" s="6" t="s">
        <v>382</v>
      </c>
      <c r="B28" s="6" t="s">
        <v>383</v>
      </c>
      <c r="C28" s="6" t="s">
        <v>384</v>
      </c>
      <c r="D28" s="6" t="s">
        <v>93</v>
      </c>
      <c r="E28" s="6" t="s">
        <v>290</v>
      </c>
      <c r="F28" s="6" t="s">
        <v>26</v>
      </c>
      <c r="G28" s="6" t="s">
        <v>141</v>
      </c>
      <c r="H28" s="6" t="s">
        <v>28</v>
      </c>
      <c r="I28" s="6" t="s">
        <v>44</v>
      </c>
      <c r="J28" s="6" t="s">
        <v>48</v>
      </c>
      <c r="K28" s="6" t="s">
        <v>372</v>
      </c>
      <c r="L28" s="6" t="s">
        <v>385</v>
      </c>
      <c r="M28" s="6" t="s">
        <v>48</v>
      </c>
      <c r="N28" s="6" t="s">
        <v>386</v>
      </c>
      <c r="O28" s="6" t="s">
        <v>374</v>
      </c>
      <c r="P28" s="6" t="s">
        <v>387</v>
      </c>
      <c r="Q28" s="6" t="s">
        <v>376</v>
      </c>
      <c r="R28" s="6" t="s">
        <v>376</v>
      </c>
      <c r="S28" s="6" t="s">
        <v>388</v>
      </c>
      <c r="T28" s="6" t="s">
        <v>369</v>
      </c>
      <c r="U28" s="6"/>
      <c r="V28" s="6" t="s">
        <v>389</v>
      </c>
      <c r="W28" s="6" t="n">
        <v>25</v>
      </c>
      <c r="X28" s="6" t="s">
        <v>34</v>
      </c>
      <c r="Y28" s="6" t="s">
        <v>106</v>
      </c>
      <c r="Z28" s="6" t="s">
        <v>41</v>
      </c>
      <c r="AA28" s="6" t="s">
        <v>390</v>
      </c>
      <c r="AB28" s="6" t="s">
        <v>391</v>
      </c>
      <c r="AC28" s="6" t="s">
        <v>392</v>
      </c>
      <c r="AD28" s="6" t="s">
        <v>393</v>
      </c>
      <c r="AE28" s="6" t="s">
        <v>52</v>
      </c>
    </row>
    <row r="29" customFormat="false" ht="23.85" hidden="false" customHeight="false" outlineLevel="0" collapsed="false">
      <c r="A29" s="6" t="s">
        <v>394</v>
      </c>
      <c r="B29" s="6" t="s">
        <v>395</v>
      </c>
      <c r="C29" s="6" t="s">
        <v>396</v>
      </c>
      <c r="D29" s="6" t="s">
        <v>93</v>
      </c>
      <c r="E29" s="6" t="s">
        <v>290</v>
      </c>
      <c r="F29" s="6" t="s">
        <v>26</v>
      </c>
      <c r="G29" s="6" t="s">
        <v>236</v>
      </c>
      <c r="H29" s="6" t="s">
        <v>28</v>
      </c>
      <c r="I29" s="6" t="s">
        <v>44</v>
      </c>
      <c r="J29" s="6" t="s">
        <v>48</v>
      </c>
      <c r="K29" s="6" t="s">
        <v>372</v>
      </c>
      <c r="L29" s="6" t="s">
        <v>397</v>
      </c>
      <c r="M29" s="6" t="s">
        <v>48</v>
      </c>
      <c r="N29" s="6" t="s">
        <v>143</v>
      </c>
      <c r="O29" s="6" t="s">
        <v>374</v>
      </c>
      <c r="P29" s="6" t="s">
        <v>398</v>
      </c>
      <c r="Q29" s="6" t="s">
        <v>376</v>
      </c>
      <c r="R29" s="6" t="s">
        <v>146</v>
      </c>
      <c r="S29" s="6" t="s">
        <v>103</v>
      </c>
      <c r="T29" s="6" t="s">
        <v>369</v>
      </c>
      <c r="U29" s="6"/>
      <c r="V29" s="6" t="s">
        <v>389</v>
      </c>
      <c r="W29" s="6" t="n">
        <v>26</v>
      </c>
      <c r="X29" s="6" t="s">
        <v>34</v>
      </c>
      <c r="Y29" s="6" t="s">
        <v>106</v>
      </c>
      <c r="Z29" s="6" t="s">
        <v>41</v>
      </c>
      <c r="AA29" s="6" t="s">
        <v>379</v>
      </c>
      <c r="AB29" s="6" t="s">
        <v>391</v>
      </c>
      <c r="AC29" s="6" t="s">
        <v>382</v>
      </c>
      <c r="AD29" s="6" t="s">
        <v>399</v>
      </c>
      <c r="AE29" s="6" t="s">
        <v>52</v>
      </c>
    </row>
    <row r="30" customFormat="false" ht="35.05" hidden="false" customHeight="false" outlineLevel="0" collapsed="false">
      <c r="A30" s="6" t="s">
        <v>400</v>
      </c>
      <c r="B30" s="6" t="s">
        <v>401</v>
      </c>
      <c r="C30" s="6" t="s">
        <v>402</v>
      </c>
      <c r="D30" s="6" t="s">
        <v>93</v>
      </c>
      <c r="E30" s="6" t="s">
        <v>290</v>
      </c>
      <c r="F30" s="6" t="s">
        <v>25</v>
      </c>
      <c r="G30" s="6" t="s">
        <v>191</v>
      </c>
      <c r="H30" s="6" t="s">
        <v>28</v>
      </c>
      <c r="I30" s="6" t="s">
        <v>45</v>
      </c>
      <c r="J30" s="6" t="s">
        <v>49</v>
      </c>
      <c r="K30" s="6" t="s">
        <v>372</v>
      </c>
      <c r="L30" s="6" t="s">
        <v>403</v>
      </c>
      <c r="M30" s="6" t="s">
        <v>49</v>
      </c>
      <c r="N30" s="6" t="s">
        <v>404</v>
      </c>
      <c r="O30" s="6" t="s">
        <v>374</v>
      </c>
      <c r="P30" s="6" t="s">
        <v>405</v>
      </c>
      <c r="Q30" s="6" t="s">
        <v>376</v>
      </c>
      <c r="R30" s="6" t="s">
        <v>132</v>
      </c>
      <c r="S30" s="6" t="s">
        <v>103</v>
      </c>
      <c r="T30" s="6" t="s">
        <v>369</v>
      </c>
      <c r="U30" s="6" t="s">
        <v>406</v>
      </c>
      <c r="V30" s="6" t="s">
        <v>407</v>
      </c>
      <c r="W30" s="6" t="n">
        <v>61</v>
      </c>
      <c r="X30" s="6" t="s">
        <v>35</v>
      </c>
      <c r="Y30" s="6" t="s">
        <v>106</v>
      </c>
      <c r="Z30" s="6" t="s">
        <v>41</v>
      </c>
      <c r="AA30" s="6" t="s">
        <v>390</v>
      </c>
      <c r="AB30" s="6" t="s">
        <v>267</v>
      </c>
      <c r="AC30" s="6" t="s">
        <v>369</v>
      </c>
      <c r="AD30" s="6" t="s">
        <v>408</v>
      </c>
      <c r="AE30" s="6" t="s">
        <v>52</v>
      </c>
    </row>
    <row r="31" customFormat="false" ht="23.85" hidden="false" customHeight="false" outlineLevel="0" collapsed="false">
      <c r="A31" s="6" t="s">
        <v>406</v>
      </c>
      <c r="B31" s="6" t="s">
        <v>409</v>
      </c>
      <c r="C31" s="6" t="s">
        <v>410</v>
      </c>
      <c r="D31" s="6" t="s">
        <v>93</v>
      </c>
      <c r="E31" s="6" t="s">
        <v>290</v>
      </c>
      <c r="F31" s="6" t="s">
        <v>26</v>
      </c>
      <c r="G31" s="6" t="s">
        <v>236</v>
      </c>
      <c r="H31" s="6" t="s">
        <v>28</v>
      </c>
      <c r="I31" s="6" t="s">
        <v>45</v>
      </c>
      <c r="J31" s="6" t="s">
        <v>49</v>
      </c>
      <c r="K31" s="6" t="s">
        <v>372</v>
      </c>
      <c r="L31" s="6" t="s">
        <v>411</v>
      </c>
      <c r="M31" s="6" t="s">
        <v>49</v>
      </c>
      <c r="N31" s="6" t="s">
        <v>412</v>
      </c>
      <c r="O31" s="6" t="s">
        <v>374</v>
      </c>
      <c r="P31" s="6" t="s">
        <v>405</v>
      </c>
      <c r="Q31" s="6" t="s">
        <v>376</v>
      </c>
      <c r="R31" s="6" t="s">
        <v>376</v>
      </c>
      <c r="S31" s="6" t="s">
        <v>103</v>
      </c>
      <c r="T31" s="6" t="s">
        <v>400</v>
      </c>
      <c r="U31" s="6"/>
      <c r="V31" s="6" t="s">
        <v>389</v>
      </c>
      <c r="W31" s="6" t="n">
        <v>62</v>
      </c>
      <c r="X31" s="6" t="s">
        <v>35</v>
      </c>
      <c r="Y31" s="6" t="s">
        <v>106</v>
      </c>
      <c r="Z31" s="6" t="s">
        <v>41</v>
      </c>
      <c r="AA31" s="6" t="s">
        <v>390</v>
      </c>
      <c r="AB31" s="6" t="s">
        <v>413</v>
      </c>
      <c r="AC31" s="6" t="s">
        <v>400</v>
      </c>
      <c r="AD31" s="6" t="s">
        <v>414</v>
      </c>
      <c r="AE31" s="6" t="s">
        <v>52</v>
      </c>
    </row>
    <row r="32" customFormat="false" ht="23.85" hidden="false" customHeight="false" outlineLevel="0" collapsed="false">
      <c r="A32" s="6" t="s">
        <v>415</v>
      </c>
      <c r="B32" s="6" t="s">
        <v>416</v>
      </c>
      <c r="C32" s="6" t="s">
        <v>417</v>
      </c>
      <c r="D32" s="6" t="s">
        <v>93</v>
      </c>
      <c r="E32" s="6" t="s">
        <v>290</v>
      </c>
      <c r="F32" s="6" t="s">
        <v>25</v>
      </c>
      <c r="G32" s="6" t="s">
        <v>191</v>
      </c>
      <c r="H32" s="6" t="s">
        <v>28</v>
      </c>
      <c r="I32" s="6" t="s">
        <v>44</v>
      </c>
      <c r="J32" s="6" t="s">
        <v>49</v>
      </c>
      <c r="K32" s="6" t="s">
        <v>372</v>
      </c>
      <c r="L32" s="6" t="s">
        <v>418</v>
      </c>
      <c r="M32" s="6" t="s">
        <v>49</v>
      </c>
      <c r="N32" s="6" t="s">
        <v>143</v>
      </c>
      <c r="O32" s="6" t="s">
        <v>374</v>
      </c>
      <c r="P32" s="6" t="s">
        <v>375</v>
      </c>
      <c r="Q32" s="6" t="s">
        <v>376</v>
      </c>
      <c r="R32" s="6" t="s">
        <v>132</v>
      </c>
      <c r="S32" s="6" t="s">
        <v>103</v>
      </c>
      <c r="T32" s="6" t="s">
        <v>369</v>
      </c>
      <c r="U32" s="6" t="s">
        <v>419</v>
      </c>
      <c r="V32" s="6" t="s">
        <v>407</v>
      </c>
      <c r="W32" s="6" t="n">
        <v>59</v>
      </c>
      <c r="X32" s="6" t="s">
        <v>35</v>
      </c>
      <c r="Y32" s="6" t="s">
        <v>106</v>
      </c>
      <c r="Z32" s="6" t="s">
        <v>41</v>
      </c>
      <c r="AA32" s="6" t="s">
        <v>390</v>
      </c>
      <c r="AB32" s="6" t="s">
        <v>267</v>
      </c>
      <c r="AC32" s="6" t="s">
        <v>369</v>
      </c>
      <c r="AD32" s="6" t="s">
        <v>420</v>
      </c>
      <c r="AE32" s="6" t="s">
        <v>52</v>
      </c>
    </row>
    <row r="33" customFormat="false" ht="23.85" hidden="false" customHeight="false" outlineLevel="0" collapsed="false">
      <c r="A33" s="6" t="s">
        <v>419</v>
      </c>
      <c r="B33" s="6" t="s">
        <v>421</v>
      </c>
      <c r="C33" s="6" t="s">
        <v>422</v>
      </c>
      <c r="D33" s="6" t="s">
        <v>93</v>
      </c>
      <c r="E33" s="6" t="s">
        <v>290</v>
      </c>
      <c r="F33" s="6" t="s">
        <v>26</v>
      </c>
      <c r="G33" s="6" t="s">
        <v>204</v>
      </c>
      <c r="H33" s="6" t="s">
        <v>28</v>
      </c>
      <c r="I33" s="6" t="s">
        <v>45</v>
      </c>
      <c r="J33" s="6" t="s">
        <v>49</v>
      </c>
      <c r="K33" s="6" t="s">
        <v>372</v>
      </c>
      <c r="L33" s="6" t="s">
        <v>423</v>
      </c>
      <c r="M33" s="6" t="s">
        <v>49</v>
      </c>
      <c r="N33" s="6" t="s">
        <v>143</v>
      </c>
      <c r="O33" s="6" t="s">
        <v>374</v>
      </c>
      <c r="P33" s="6" t="s">
        <v>375</v>
      </c>
      <c r="Q33" s="6" t="s">
        <v>376</v>
      </c>
      <c r="R33" s="6" t="s">
        <v>376</v>
      </c>
      <c r="S33" s="6" t="s">
        <v>103</v>
      </c>
      <c r="T33" s="6" t="s">
        <v>415</v>
      </c>
      <c r="U33" s="6"/>
      <c r="V33" s="6" t="s">
        <v>389</v>
      </c>
      <c r="W33" s="6" t="n">
        <v>60</v>
      </c>
      <c r="X33" s="6" t="s">
        <v>35</v>
      </c>
      <c r="Y33" s="6" t="s">
        <v>106</v>
      </c>
      <c r="Z33" s="6" t="s">
        <v>40</v>
      </c>
      <c r="AA33" s="6" t="s">
        <v>160</v>
      </c>
      <c r="AB33" s="6"/>
      <c r="AC33" s="6" t="s">
        <v>415</v>
      </c>
      <c r="AD33" s="6" t="s">
        <v>424</v>
      </c>
      <c r="AE33" s="6" t="s">
        <v>52</v>
      </c>
    </row>
    <row r="34" customFormat="false" ht="23.85" hidden="false" customHeight="false" outlineLevel="0" collapsed="false">
      <c r="A34" s="6" t="s">
        <v>425</v>
      </c>
      <c r="B34" s="6" t="s">
        <v>426</v>
      </c>
      <c r="C34" s="6" t="s">
        <v>427</v>
      </c>
      <c r="D34" s="6" t="s">
        <v>93</v>
      </c>
      <c r="E34" s="6" t="s">
        <v>290</v>
      </c>
      <c r="F34" s="6" t="s">
        <v>26</v>
      </c>
      <c r="G34" s="6" t="s">
        <v>236</v>
      </c>
      <c r="H34" s="6" t="s">
        <v>28</v>
      </c>
      <c r="I34" s="6" t="s">
        <v>44</v>
      </c>
      <c r="J34" s="6" t="s">
        <v>48</v>
      </c>
      <c r="K34" s="6" t="s">
        <v>372</v>
      </c>
      <c r="L34" s="6" t="s">
        <v>428</v>
      </c>
      <c r="M34" s="6" t="s">
        <v>48</v>
      </c>
      <c r="N34" s="6" t="s">
        <v>429</v>
      </c>
      <c r="O34" s="6" t="s">
        <v>430</v>
      </c>
      <c r="P34" s="6" t="s">
        <v>431</v>
      </c>
      <c r="Q34" s="6" t="s">
        <v>376</v>
      </c>
      <c r="R34" s="6" t="s">
        <v>146</v>
      </c>
      <c r="S34" s="6" t="s">
        <v>103</v>
      </c>
      <c r="T34" s="6" t="s">
        <v>432</v>
      </c>
      <c r="U34" s="6"/>
      <c r="V34" s="6" t="s">
        <v>433</v>
      </c>
      <c r="W34" s="6" t="n">
        <v>58</v>
      </c>
      <c r="X34" s="6" t="s">
        <v>35</v>
      </c>
      <c r="Y34" s="6" t="s">
        <v>106</v>
      </c>
      <c r="Z34" s="6" t="s">
        <v>41</v>
      </c>
      <c r="AA34" s="6" t="s">
        <v>434</v>
      </c>
      <c r="AB34" s="6"/>
      <c r="AC34" s="6" t="s">
        <v>369</v>
      </c>
      <c r="AD34" s="6" t="s">
        <v>435</v>
      </c>
      <c r="AE34" s="6" t="s">
        <v>52</v>
      </c>
    </row>
    <row r="35" customFormat="false" ht="35.05" hidden="false" customHeight="false" outlineLevel="0" collapsed="false">
      <c r="A35" s="6" t="s">
        <v>220</v>
      </c>
      <c r="B35" s="6" t="s">
        <v>436</v>
      </c>
      <c r="C35" s="6" t="s">
        <v>437</v>
      </c>
      <c r="D35" s="6" t="s">
        <v>93</v>
      </c>
      <c r="E35" s="6" t="s">
        <v>438</v>
      </c>
      <c r="F35" s="6" t="s">
        <v>25</v>
      </c>
      <c r="G35" s="6" t="s">
        <v>191</v>
      </c>
      <c r="H35" s="6" t="s">
        <v>28</v>
      </c>
      <c r="I35" s="6" t="s">
        <v>45</v>
      </c>
      <c r="J35" s="6" t="s">
        <v>49</v>
      </c>
      <c r="K35" s="6" t="s">
        <v>114</v>
      </c>
      <c r="L35" s="6" t="s">
        <v>439</v>
      </c>
      <c r="M35" s="6" t="s">
        <v>49</v>
      </c>
      <c r="N35" s="6" t="s">
        <v>440</v>
      </c>
      <c r="O35" s="6" t="s">
        <v>441</v>
      </c>
      <c r="P35" s="6" t="s">
        <v>442</v>
      </c>
      <c r="Q35" s="6" t="s">
        <v>101</v>
      </c>
      <c r="R35" s="6" t="s">
        <v>132</v>
      </c>
      <c r="S35" s="6" t="s">
        <v>103</v>
      </c>
      <c r="T35" s="6" t="s">
        <v>212</v>
      </c>
      <c r="U35" s="6" t="s">
        <v>443</v>
      </c>
      <c r="V35" s="6" t="s">
        <v>105</v>
      </c>
      <c r="W35" s="6" t="n">
        <v>122</v>
      </c>
      <c r="X35" s="6" t="s">
        <v>37</v>
      </c>
      <c r="Y35" s="6" t="s">
        <v>106</v>
      </c>
      <c r="Z35" s="6" t="s">
        <v>41</v>
      </c>
      <c r="AA35" s="6" t="s">
        <v>325</v>
      </c>
      <c r="AB35" s="6" t="s">
        <v>444</v>
      </c>
      <c r="AC35" s="6" t="s">
        <v>212</v>
      </c>
      <c r="AD35" s="6" t="s">
        <v>445</v>
      </c>
      <c r="AE35" s="6" t="s">
        <v>52</v>
      </c>
    </row>
    <row r="36" customFormat="false" ht="35.05" hidden="false" customHeight="false" outlineLevel="0" collapsed="false">
      <c r="A36" s="6" t="s">
        <v>443</v>
      </c>
      <c r="B36" s="6" t="s">
        <v>446</v>
      </c>
      <c r="C36" s="6" t="s">
        <v>447</v>
      </c>
      <c r="D36" s="6" t="s">
        <v>93</v>
      </c>
      <c r="E36" s="6" t="s">
        <v>438</v>
      </c>
      <c r="F36" s="6" t="s">
        <v>26</v>
      </c>
      <c r="G36" s="6" t="s">
        <v>448</v>
      </c>
      <c r="H36" s="6" t="s">
        <v>28</v>
      </c>
      <c r="I36" s="6" t="s">
        <v>45</v>
      </c>
      <c r="J36" s="6" t="s">
        <v>48</v>
      </c>
      <c r="K36" s="6" t="s">
        <v>114</v>
      </c>
      <c r="L36" s="6" t="s">
        <v>449</v>
      </c>
      <c r="M36" s="6" t="s">
        <v>49</v>
      </c>
      <c r="N36" s="6" t="s">
        <v>450</v>
      </c>
      <c r="O36" s="6" t="s">
        <v>441</v>
      </c>
      <c r="P36" s="6" t="s">
        <v>451</v>
      </c>
      <c r="Q36" s="6" t="s">
        <v>101</v>
      </c>
      <c r="R36" s="6" t="s">
        <v>132</v>
      </c>
      <c r="S36" s="6" t="s">
        <v>452</v>
      </c>
      <c r="T36" s="6" t="s">
        <v>220</v>
      </c>
      <c r="U36" s="6"/>
      <c r="V36" s="6" t="s">
        <v>134</v>
      </c>
      <c r="W36" s="6" t="n">
        <v>123</v>
      </c>
      <c r="X36" s="6" t="s">
        <v>37</v>
      </c>
      <c r="Y36" s="6" t="s">
        <v>106</v>
      </c>
      <c r="Z36" s="6" t="s">
        <v>40</v>
      </c>
      <c r="AA36" s="6" t="s">
        <v>160</v>
      </c>
      <c r="AB36" s="6" t="s">
        <v>444</v>
      </c>
      <c r="AC36" s="6" t="s">
        <v>220</v>
      </c>
      <c r="AD36" s="6" t="s">
        <v>453</v>
      </c>
      <c r="AE36" s="6" t="s">
        <v>52</v>
      </c>
    </row>
    <row r="37" customFormat="false" ht="35.05" hidden="false" customHeight="false" outlineLevel="0" collapsed="false">
      <c r="A37" s="6" t="s">
        <v>454</v>
      </c>
      <c r="B37" s="6" t="s">
        <v>455</v>
      </c>
      <c r="C37" s="6" t="s">
        <v>456</v>
      </c>
      <c r="D37" s="6" t="s">
        <v>93</v>
      </c>
      <c r="E37" s="6" t="s">
        <v>438</v>
      </c>
      <c r="F37" s="6" t="s">
        <v>26</v>
      </c>
      <c r="G37" s="6" t="s">
        <v>141</v>
      </c>
      <c r="H37" s="6" t="s">
        <v>28</v>
      </c>
      <c r="I37" s="6" t="s">
        <v>45</v>
      </c>
      <c r="J37" s="6" t="s">
        <v>48</v>
      </c>
      <c r="K37" s="6" t="s">
        <v>114</v>
      </c>
      <c r="L37" s="6" t="s">
        <v>457</v>
      </c>
      <c r="M37" s="6" t="s">
        <v>49</v>
      </c>
      <c r="N37" s="6" t="s">
        <v>458</v>
      </c>
      <c r="O37" s="6" t="s">
        <v>459</v>
      </c>
      <c r="P37" s="6" t="s">
        <v>460</v>
      </c>
      <c r="Q37" s="6" t="s">
        <v>101</v>
      </c>
      <c r="R37" s="6" t="s">
        <v>132</v>
      </c>
      <c r="S37" s="6" t="s">
        <v>103</v>
      </c>
      <c r="T37" s="6" t="s">
        <v>110</v>
      </c>
      <c r="U37" s="6" t="s">
        <v>461</v>
      </c>
      <c r="V37" s="6" t="s">
        <v>134</v>
      </c>
      <c r="W37" s="6" t="n">
        <v>44</v>
      </c>
      <c r="X37" s="6" t="s">
        <v>35</v>
      </c>
      <c r="Y37" s="6" t="s">
        <v>106</v>
      </c>
      <c r="Z37" s="6" t="s">
        <v>41</v>
      </c>
      <c r="AA37" s="6" t="s">
        <v>325</v>
      </c>
      <c r="AB37" s="6" t="s">
        <v>255</v>
      </c>
      <c r="AC37" s="6" t="s">
        <v>110</v>
      </c>
      <c r="AD37" s="6" t="s">
        <v>462</v>
      </c>
      <c r="AE37" s="6" t="s">
        <v>52</v>
      </c>
    </row>
    <row r="38" customFormat="false" ht="35.05" hidden="false" customHeight="false" outlineLevel="0" collapsed="false">
      <c r="A38" s="6" t="s">
        <v>461</v>
      </c>
      <c r="B38" s="6" t="s">
        <v>463</v>
      </c>
      <c r="C38" s="6" t="s">
        <v>464</v>
      </c>
      <c r="D38" s="6" t="s">
        <v>93</v>
      </c>
      <c r="E38" s="6" t="s">
        <v>438</v>
      </c>
      <c r="F38" s="6" t="s">
        <v>26</v>
      </c>
      <c r="G38" s="6" t="s">
        <v>236</v>
      </c>
      <c r="H38" s="6" t="s">
        <v>28</v>
      </c>
      <c r="I38" s="6" t="s">
        <v>45</v>
      </c>
      <c r="J38" s="6" t="s">
        <v>49</v>
      </c>
      <c r="K38" s="6" t="s">
        <v>96</v>
      </c>
      <c r="L38" s="6" t="s">
        <v>465</v>
      </c>
      <c r="M38" s="6" t="s">
        <v>49</v>
      </c>
      <c r="N38" s="6" t="s">
        <v>466</v>
      </c>
      <c r="O38" s="6" t="s">
        <v>467</v>
      </c>
      <c r="P38" s="6" t="s">
        <v>468</v>
      </c>
      <c r="Q38" s="6" t="s">
        <v>101</v>
      </c>
      <c r="R38" s="6" t="s">
        <v>184</v>
      </c>
      <c r="S38" s="6" t="s">
        <v>103</v>
      </c>
      <c r="T38" s="6" t="s">
        <v>454</v>
      </c>
      <c r="U38" s="6"/>
      <c r="V38" s="6" t="s">
        <v>134</v>
      </c>
      <c r="W38" s="6" t="n">
        <v>98</v>
      </c>
      <c r="X38" s="6" t="s">
        <v>36</v>
      </c>
      <c r="Y38" s="6" t="s">
        <v>106</v>
      </c>
      <c r="Z38" s="6" t="s">
        <v>41</v>
      </c>
      <c r="AA38" s="6" t="s">
        <v>325</v>
      </c>
      <c r="AB38" s="6"/>
      <c r="AC38" s="6" t="s">
        <v>454</v>
      </c>
      <c r="AD38" s="6" t="s">
        <v>469</v>
      </c>
      <c r="AE38" s="6" t="s">
        <v>52</v>
      </c>
    </row>
    <row r="39" customFormat="false" ht="23.85" hidden="false" customHeight="false" outlineLevel="0" collapsed="false">
      <c r="A39" s="6" t="s">
        <v>470</v>
      </c>
      <c r="B39" s="6" t="s">
        <v>471</v>
      </c>
      <c r="C39" s="6" t="s">
        <v>472</v>
      </c>
      <c r="D39" s="6" t="s">
        <v>93</v>
      </c>
      <c r="E39" s="6" t="s">
        <v>438</v>
      </c>
      <c r="F39" s="6" t="s">
        <v>25</v>
      </c>
      <c r="G39" s="6" t="s">
        <v>191</v>
      </c>
      <c r="H39" s="6" t="s">
        <v>28</v>
      </c>
      <c r="I39" s="6" t="s">
        <v>45</v>
      </c>
      <c r="J39" s="6" t="s">
        <v>49</v>
      </c>
      <c r="K39" s="6" t="s">
        <v>192</v>
      </c>
      <c r="L39" s="6" t="s">
        <v>473</v>
      </c>
      <c r="M39" s="6" t="s">
        <v>49</v>
      </c>
      <c r="N39" s="6" t="s">
        <v>474</v>
      </c>
      <c r="O39" s="6" t="s">
        <v>475</v>
      </c>
      <c r="P39" s="6" t="s">
        <v>476</v>
      </c>
      <c r="Q39" s="6" t="s">
        <v>477</v>
      </c>
      <c r="R39" s="6" t="s">
        <v>478</v>
      </c>
      <c r="S39" s="6" t="s">
        <v>103</v>
      </c>
      <c r="T39" s="6" t="s">
        <v>90</v>
      </c>
      <c r="U39" s="6" t="s">
        <v>479</v>
      </c>
      <c r="V39" s="6" t="s">
        <v>480</v>
      </c>
      <c r="W39" s="6" t="n">
        <v>124</v>
      </c>
      <c r="X39" s="6" t="s">
        <v>37</v>
      </c>
      <c r="Y39" s="6" t="s">
        <v>106</v>
      </c>
      <c r="Z39" s="6" t="s">
        <v>42</v>
      </c>
      <c r="AA39" s="6" t="s">
        <v>481</v>
      </c>
      <c r="AB39" s="6" t="s">
        <v>482</v>
      </c>
      <c r="AC39" s="6" t="s">
        <v>90</v>
      </c>
      <c r="AD39" s="6" t="s">
        <v>483</v>
      </c>
      <c r="AE39" s="6" t="s">
        <v>52</v>
      </c>
    </row>
    <row r="40" customFormat="false" ht="23.85" hidden="false" customHeight="false" outlineLevel="0" collapsed="false">
      <c r="A40" s="6" t="s">
        <v>484</v>
      </c>
      <c r="B40" s="6" t="s">
        <v>485</v>
      </c>
      <c r="C40" s="6" t="s">
        <v>486</v>
      </c>
      <c r="D40" s="6" t="s">
        <v>93</v>
      </c>
      <c r="E40" s="6" t="s">
        <v>438</v>
      </c>
      <c r="F40" s="6" t="s">
        <v>25</v>
      </c>
      <c r="G40" s="6" t="s">
        <v>248</v>
      </c>
      <c r="H40" s="6" t="s">
        <v>28</v>
      </c>
      <c r="I40" s="6" t="s">
        <v>45</v>
      </c>
      <c r="J40" s="6" t="s">
        <v>48</v>
      </c>
      <c r="K40" s="6" t="s">
        <v>192</v>
      </c>
      <c r="L40" s="6" t="s">
        <v>487</v>
      </c>
      <c r="M40" s="6" t="s">
        <v>48</v>
      </c>
      <c r="N40" s="6" t="s">
        <v>488</v>
      </c>
      <c r="O40" s="6" t="s">
        <v>489</v>
      </c>
      <c r="P40" s="6" t="s">
        <v>490</v>
      </c>
      <c r="Q40" s="6" t="s">
        <v>477</v>
      </c>
      <c r="R40" s="6" t="s">
        <v>478</v>
      </c>
      <c r="S40" s="6" t="s">
        <v>103</v>
      </c>
      <c r="T40" s="6" t="s">
        <v>470</v>
      </c>
      <c r="U40" s="6"/>
      <c r="V40" s="6" t="s">
        <v>480</v>
      </c>
      <c r="W40" s="6" t="n">
        <v>125</v>
      </c>
      <c r="X40" s="6" t="s">
        <v>37</v>
      </c>
      <c r="Y40" s="6" t="s">
        <v>106</v>
      </c>
      <c r="Z40" s="6" t="s">
        <v>42</v>
      </c>
      <c r="AA40" s="6" t="s">
        <v>481</v>
      </c>
      <c r="AB40" s="6" t="s">
        <v>482</v>
      </c>
      <c r="AC40" s="6" t="s">
        <v>470</v>
      </c>
      <c r="AD40" s="6" t="s">
        <v>491</v>
      </c>
      <c r="AE40" s="6" t="s">
        <v>52</v>
      </c>
    </row>
    <row r="41" customFormat="false" ht="23.85" hidden="false" customHeight="false" outlineLevel="0" collapsed="false">
      <c r="A41" s="6" t="s">
        <v>492</v>
      </c>
      <c r="B41" s="6" t="s">
        <v>493</v>
      </c>
      <c r="C41" s="6" t="s">
        <v>494</v>
      </c>
      <c r="D41" s="6" t="s">
        <v>93</v>
      </c>
      <c r="E41" s="6" t="s">
        <v>438</v>
      </c>
      <c r="F41" s="6" t="s">
        <v>26</v>
      </c>
      <c r="G41" s="6" t="s">
        <v>236</v>
      </c>
      <c r="H41" s="6" t="s">
        <v>28</v>
      </c>
      <c r="I41" s="6" t="s">
        <v>45</v>
      </c>
      <c r="J41" s="6" t="s">
        <v>48</v>
      </c>
      <c r="K41" s="6" t="s">
        <v>192</v>
      </c>
      <c r="L41" s="6" t="s">
        <v>495</v>
      </c>
      <c r="M41" s="6" t="s">
        <v>48</v>
      </c>
      <c r="N41" s="6" t="s">
        <v>474</v>
      </c>
      <c r="O41" s="6" t="s">
        <v>489</v>
      </c>
      <c r="P41" s="6" t="s">
        <v>490</v>
      </c>
      <c r="Q41" s="6" t="s">
        <v>477</v>
      </c>
      <c r="R41" s="6" t="s">
        <v>478</v>
      </c>
      <c r="S41" s="6" t="s">
        <v>103</v>
      </c>
      <c r="T41" s="6" t="s">
        <v>470</v>
      </c>
      <c r="U41" s="6"/>
      <c r="V41" s="6" t="s">
        <v>365</v>
      </c>
      <c r="W41" s="6" t="n">
        <v>126</v>
      </c>
      <c r="X41" s="6" t="s">
        <v>37</v>
      </c>
      <c r="Y41" s="6" t="s">
        <v>106</v>
      </c>
      <c r="Z41" s="6" t="s">
        <v>41</v>
      </c>
      <c r="AA41" s="6" t="s">
        <v>481</v>
      </c>
      <c r="AB41" s="6"/>
      <c r="AC41" s="6" t="s">
        <v>470</v>
      </c>
      <c r="AD41" s="6" t="s">
        <v>496</v>
      </c>
      <c r="AE41" s="6" t="s">
        <v>52</v>
      </c>
    </row>
    <row r="42" customFormat="false" ht="35.05" hidden="false" customHeight="false" outlineLevel="0" collapsed="false">
      <c r="A42" s="6" t="s">
        <v>497</v>
      </c>
      <c r="B42" s="6" t="s">
        <v>498</v>
      </c>
      <c r="C42" s="6" t="s">
        <v>499</v>
      </c>
      <c r="D42" s="6" t="s">
        <v>93</v>
      </c>
      <c r="E42" s="6" t="s">
        <v>500</v>
      </c>
      <c r="F42" s="6" t="s">
        <v>23</v>
      </c>
      <c r="G42" s="6" t="s">
        <v>179</v>
      </c>
      <c r="H42" s="6" t="s">
        <v>28</v>
      </c>
      <c r="I42" s="6" t="s">
        <v>44</v>
      </c>
      <c r="J42" s="6" t="s">
        <v>49</v>
      </c>
      <c r="K42" s="6" t="s">
        <v>96</v>
      </c>
      <c r="L42" s="6" t="s">
        <v>501</v>
      </c>
      <c r="M42" s="6" t="s">
        <v>49</v>
      </c>
      <c r="N42" s="6" t="s">
        <v>502</v>
      </c>
      <c r="O42" s="6" t="s">
        <v>503</v>
      </c>
      <c r="P42" s="6" t="s">
        <v>504</v>
      </c>
      <c r="Q42" s="6" t="s">
        <v>101</v>
      </c>
      <c r="R42" s="6" t="s">
        <v>184</v>
      </c>
      <c r="S42" s="6" t="s">
        <v>103</v>
      </c>
      <c r="T42" s="6" t="s">
        <v>265</v>
      </c>
      <c r="U42" s="6" t="s">
        <v>505</v>
      </c>
      <c r="V42" s="6" t="s">
        <v>506</v>
      </c>
      <c r="W42" s="6" t="n">
        <v>48</v>
      </c>
      <c r="X42" s="6" t="s">
        <v>35</v>
      </c>
      <c r="Y42" s="6" t="s">
        <v>106</v>
      </c>
      <c r="Z42" s="6" t="s">
        <v>41</v>
      </c>
      <c r="AA42" s="6" t="s">
        <v>325</v>
      </c>
      <c r="AB42" s="6" t="s">
        <v>187</v>
      </c>
      <c r="AC42" s="6" t="s">
        <v>507</v>
      </c>
      <c r="AD42" s="6" t="s">
        <v>508</v>
      </c>
      <c r="AE42" s="6" t="s">
        <v>52</v>
      </c>
    </row>
    <row r="43" customFormat="false" ht="35.05" hidden="false" customHeight="false" outlineLevel="0" collapsed="false">
      <c r="A43" s="6" t="s">
        <v>509</v>
      </c>
      <c r="B43" s="6" t="s">
        <v>510</v>
      </c>
      <c r="C43" s="6" t="s">
        <v>511</v>
      </c>
      <c r="D43" s="6" t="s">
        <v>93</v>
      </c>
      <c r="E43" s="6" t="s">
        <v>500</v>
      </c>
      <c r="F43" s="6" t="s">
        <v>25</v>
      </c>
      <c r="G43" s="6" t="s">
        <v>191</v>
      </c>
      <c r="H43" s="6" t="s">
        <v>28</v>
      </c>
      <c r="I43" s="6" t="s">
        <v>45</v>
      </c>
      <c r="J43" s="6" t="s">
        <v>49</v>
      </c>
      <c r="K43" s="6" t="s">
        <v>96</v>
      </c>
      <c r="L43" s="6" t="s">
        <v>512</v>
      </c>
      <c r="M43" s="6" t="s">
        <v>49</v>
      </c>
      <c r="N43" s="6" t="s">
        <v>513</v>
      </c>
      <c r="O43" s="6" t="s">
        <v>514</v>
      </c>
      <c r="P43" s="6" t="s">
        <v>515</v>
      </c>
      <c r="Q43" s="6" t="s">
        <v>101</v>
      </c>
      <c r="R43" s="6" t="s">
        <v>230</v>
      </c>
      <c r="S43" s="6" t="s">
        <v>103</v>
      </c>
      <c r="T43" s="6" t="s">
        <v>497</v>
      </c>
      <c r="U43" s="6" t="s">
        <v>516</v>
      </c>
      <c r="V43" s="6" t="s">
        <v>506</v>
      </c>
      <c r="W43" s="6" t="n">
        <v>94</v>
      </c>
      <c r="X43" s="6" t="s">
        <v>36</v>
      </c>
      <c r="Y43" s="6" t="s">
        <v>106</v>
      </c>
      <c r="Z43" s="6" t="s">
        <v>41</v>
      </c>
      <c r="AA43" s="6" t="s">
        <v>325</v>
      </c>
      <c r="AB43" s="6" t="s">
        <v>517</v>
      </c>
      <c r="AC43" s="6" t="s">
        <v>497</v>
      </c>
      <c r="AD43" s="6" t="s">
        <v>518</v>
      </c>
      <c r="AE43" s="6" t="s">
        <v>52</v>
      </c>
    </row>
    <row r="44" customFormat="false" ht="35.05" hidden="false" customHeight="false" outlineLevel="0" collapsed="false">
      <c r="A44" s="6" t="s">
        <v>519</v>
      </c>
      <c r="B44" s="6" t="s">
        <v>520</v>
      </c>
      <c r="C44" s="6" t="s">
        <v>521</v>
      </c>
      <c r="D44" s="6" t="s">
        <v>93</v>
      </c>
      <c r="E44" s="6" t="s">
        <v>500</v>
      </c>
      <c r="F44" s="6" t="s">
        <v>26</v>
      </c>
      <c r="G44" s="6" t="s">
        <v>141</v>
      </c>
      <c r="H44" s="6" t="s">
        <v>28</v>
      </c>
      <c r="I44" s="6" t="s">
        <v>44</v>
      </c>
      <c r="J44" s="6" t="s">
        <v>49</v>
      </c>
      <c r="K44" s="6" t="s">
        <v>96</v>
      </c>
      <c r="L44" s="6" t="s">
        <v>522</v>
      </c>
      <c r="M44" s="6" t="s">
        <v>49</v>
      </c>
      <c r="N44" s="6" t="s">
        <v>523</v>
      </c>
      <c r="O44" s="6" t="s">
        <v>524</v>
      </c>
      <c r="P44" s="6" t="s">
        <v>525</v>
      </c>
      <c r="Q44" s="6" t="s">
        <v>526</v>
      </c>
      <c r="R44" s="6" t="s">
        <v>101</v>
      </c>
      <c r="S44" s="6" t="s">
        <v>527</v>
      </c>
      <c r="T44" s="6" t="s">
        <v>509</v>
      </c>
      <c r="U44" s="6"/>
      <c r="V44" s="6" t="s">
        <v>528</v>
      </c>
      <c r="W44" s="6" t="n">
        <v>27</v>
      </c>
      <c r="X44" s="6" t="s">
        <v>34</v>
      </c>
      <c r="Y44" s="6" t="s">
        <v>106</v>
      </c>
      <c r="Z44" s="6" t="s">
        <v>40</v>
      </c>
      <c r="AA44" s="6" t="s">
        <v>160</v>
      </c>
      <c r="AB44" s="6" t="s">
        <v>517</v>
      </c>
      <c r="AC44" s="6"/>
      <c r="AD44" s="6" t="s">
        <v>529</v>
      </c>
      <c r="AE44" s="6" t="s">
        <v>52</v>
      </c>
    </row>
    <row r="45" customFormat="false" ht="35.05" hidden="false" customHeight="false" outlineLevel="0" collapsed="false">
      <c r="A45" s="6" t="s">
        <v>530</v>
      </c>
      <c r="B45" s="6" t="s">
        <v>531</v>
      </c>
      <c r="C45" s="6" t="s">
        <v>532</v>
      </c>
      <c r="D45" s="6" t="s">
        <v>93</v>
      </c>
      <c r="E45" s="6" t="s">
        <v>500</v>
      </c>
      <c r="F45" s="6" t="s">
        <v>26</v>
      </c>
      <c r="G45" s="6" t="s">
        <v>204</v>
      </c>
      <c r="H45" s="6" t="s">
        <v>28</v>
      </c>
      <c r="I45" s="6" t="s">
        <v>45</v>
      </c>
      <c r="J45" s="6" t="s">
        <v>49</v>
      </c>
      <c r="K45" s="6" t="s">
        <v>96</v>
      </c>
      <c r="L45" s="6" t="s">
        <v>533</v>
      </c>
      <c r="M45" s="6" t="s">
        <v>49</v>
      </c>
      <c r="N45" s="6" t="s">
        <v>534</v>
      </c>
      <c r="O45" s="6" t="s">
        <v>503</v>
      </c>
      <c r="P45" s="6" t="s">
        <v>535</v>
      </c>
      <c r="Q45" s="6" t="s">
        <v>101</v>
      </c>
      <c r="R45" s="6" t="s">
        <v>101</v>
      </c>
      <c r="S45" s="6" t="s">
        <v>103</v>
      </c>
      <c r="T45" s="6" t="s">
        <v>509</v>
      </c>
      <c r="U45" s="6"/>
      <c r="V45" s="6" t="s">
        <v>528</v>
      </c>
      <c r="W45" s="6" t="n">
        <v>96</v>
      </c>
      <c r="X45" s="6" t="s">
        <v>36</v>
      </c>
      <c r="Y45" s="6" t="s">
        <v>106</v>
      </c>
      <c r="Z45" s="6" t="s">
        <v>41</v>
      </c>
      <c r="AA45" s="6" t="s">
        <v>325</v>
      </c>
      <c r="AB45" s="6" t="s">
        <v>517</v>
      </c>
      <c r="AC45" s="6" t="s">
        <v>509</v>
      </c>
      <c r="AD45" s="6" t="s">
        <v>536</v>
      </c>
      <c r="AE45" s="6" t="s">
        <v>52</v>
      </c>
    </row>
    <row r="46" customFormat="false" ht="35.05" hidden="false" customHeight="false" outlineLevel="0" collapsed="false">
      <c r="A46" s="6" t="s">
        <v>537</v>
      </c>
      <c r="B46" s="6" t="s">
        <v>538</v>
      </c>
      <c r="C46" s="6" t="s">
        <v>539</v>
      </c>
      <c r="D46" s="6" t="s">
        <v>93</v>
      </c>
      <c r="E46" s="6" t="s">
        <v>500</v>
      </c>
      <c r="F46" s="6" t="s">
        <v>24</v>
      </c>
      <c r="G46" s="6" t="s">
        <v>260</v>
      </c>
      <c r="H46" s="6" t="s">
        <v>28</v>
      </c>
      <c r="I46" s="6" t="s">
        <v>45</v>
      </c>
      <c r="J46" s="6" t="s">
        <v>49</v>
      </c>
      <c r="K46" s="6" t="s">
        <v>96</v>
      </c>
      <c r="L46" s="6" t="s">
        <v>540</v>
      </c>
      <c r="M46" s="6" t="s">
        <v>49</v>
      </c>
      <c r="N46" s="6" t="s">
        <v>541</v>
      </c>
      <c r="O46" s="6" t="s">
        <v>542</v>
      </c>
      <c r="P46" s="6" t="s">
        <v>543</v>
      </c>
      <c r="Q46" s="6" t="s">
        <v>101</v>
      </c>
      <c r="R46" s="6" t="s">
        <v>230</v>
      </c>
      <c r="S46" s="6" t="s">
        <v>103</v>
      </c>
      <c r="T46" s="6" t="s">
        <v>497</v>
      </c>
      <c r="U46" s="6" t="s">
        <v>544</v>
      </c>
      <c r="V46" s="6" t="s">
        <v>506</v>
      </c>
      <c r="W46" s="6" t="n">
        <v>95</v>
      </c>
      <c r="X46" s="6" t="s">
        <v>36</v>
      </c>
      <c r="Y46" s="6" t="s">
        <v>106</v>
      </c>
      <c r="Z46" s="6" t="s">
        <v>41</v>
      </c>
      <c r="AA46" s="6" t="s">
        <v>545</v>
      </c>
      <c r="AB46" s="6" t="s">
        <v>517</v>
      </c>
      <c r="AC46" s="6" t="s">
        <v>497</v>
      </c>
      <c r="AD46" s="6" t="s">
        <v>546</v>
      </c>
      <c r="AE46" s="6" t="s">
        <v>52</v>
      </c>
    </row>
    <row r="47" customFormat="false" ht="35.05" hidden="false" customHeight="false" outlineLevel="0" collapsed="false">
      <c r="A47" s="6" t="s">
        <v>547</v>
      </c>
      <c r="B47" s="6" t="s">
        <v>548</v>
      </c>
      <c r="C47" s="6" t="s">
        <v>549</v>
      </c>
      <c r="D47" s="6" t="s">
        <v>93</v>
      </c>
      <c r="E47" s="6" t="s">
        <v>500</v>
      </c>
      <c r="F47" s="6" t="s">
        <v>24</v>
      </c>
      <c r="G47" s="6" t="s">
        <v>260</v>
      </c>
      <c r="H47" s="6" t="s">
        <v>28</v>
      </c>
      <c r="I47" s="6" t="s">
        <v>46</v>
      </c>
      <c r="J47" s="6" t="s">
        <v>49</v>
      </c>
      <c r="K47" s="6" t="s">
        <v>96</v>
      </c>
      <c r="L47" s="6" t="s">
        <v>550</v>
      </c>
      <c r="M47" s="6" t="s">
        <v>49</v>
      </c>
      <c r="N47" s="6" t="s">
        <v>551</v>
      </c>
      <c r="O47" s="6" t="s">
        <v>552</v>
      </c>
      <c r="P47" s="6" t="s">
        <v>553</v>
      </c>
      <c r="Q47" s="6" t="s">
        <v>101</v>
      </c>
      <c r="R47" s="6" t="s">
        <v>230</v>
      </c>
      <c r="S47" s="6" t="s">
        <v>103</v>
      </c>
      <c r="T47" s="6" t="s">
        <v>497</v>
      </c>
      <c r="U47" s="6"/>
      <c r="V47" s="6" t="s">
        <v>554</v>
      </c>
      <c r="W47" s="6" t="n">
        <v>97</v>
      </c>
      <c r="X47" s="6" t="s">
        <v>36</v>
      </c>
      <c r="Y47" s="6" t="s">
        <v>106</v>
      </c>
      <c r="Z47" s="6" t="s">
        <v>41</v>
      </c>
      <c r="AA47" s="6" t="s">
        <v>325</v>
      </c>
      <c r="AB47" s="6"/>
      <c r="AC47" s="6" t="s">
        <v>497</v>
      </c>
      <c r="AD47" s="6" t="s">
        <v>555</v>
      </c>
      <c r="AE47" s="6" t="s">
        <v>52</v>
      </c>
    </row>
    <row r="48" customFormat="false" ht="35.05" hidden="false" customHeight="false" outlineLevel="0" collapsed="false">
      <c r="A48" s="6" t="s">
        <v>556</v>
      </c>
      <c r="B48" s="6" t="s">
        <v>557</v>
      </c>
      <c r="C48" s="6" t="s">
        <v>558</v>
      </c>
      <c r="D48" s="6" t="s">
        <v>93</v>
      </c>
      <c r="E48" s="6" t="s">
        <v>500</v>
      </c>
      <c r="F48" s="6" t="s">
        <v>26</v>
      </c>
      <c r="G48" s="6" t="s">
        <v>204</v>
      </c>
      <c r="H48" s="6" t="s">
        <v>28</v>
      </c>
      <c r="I48" s="6" t="s">
        <v>45</v>
      </c>
      <c r="J48" s="6" t="s">
        <v>49</v>
      </c>
      <c r="K48" s="6" t="s">
        <v>96</v>
      </c>
      <c r="L48" s="6" t="s">
        <v>559</v>
      </c>
      <c r="M48" s="6" t="s">
        <v>49</v>
      </c>
      <c r="N48" s="6" t="s">
        <v>560</v>
      </c>
      <c r="O48" s="6" t="s">
        <v>561</v>
      </c>
      <c r="P48" s="6" t="s">
        <v>562</v>
      </c>
      <c r="Q48" s="6" t="s">
        <v>526</v>
      </c>
      <c r="R48" s="6" t="s">
        <v>101</v>
      </c>
      <c r="S48" s="6" t="s">
        <v>103</v>
      </c>
      <c r="T48" s="6" t="s">
        <v>509</v>
      </c>
      <c r="U48" s="6"/>
      <c r="V48" s="6" t="s">
        <v>528</v>
      </c>
      <c r="W48" s="6" t="n">
        <v>132</v>
      </c>
      <c r="X48" s="6" t="s">
        <v>37</v>
      </c>
      <c r="Y48" s="6" t="s">
        <v>106</v>
      </c>
      <c r="Z48" s="6" t="s">
        <v>40</v>
      </c>
      <c r="AA48" s="6" t="s">
        <v>160</v>
      </c>
      <c r="AB48" s="6"/>
      <c r="AC48" s="6" t="s">
        <v>509</v>
      </c>
      <c r="AD48" s="6" t="s">
        <v>563</v>
      </c>
      <c r="AE48" s="6" t="s">
        <v>52</v>
      </c>
    </row>
    <row r="49" customFormat="false" ht="35.05" hidden="false" customHeight="false" outlineLevel="0" collapsed="false">
      <c r="A49" s="6" t="s">
        <v>564</v>
      </c>
      <c r="B49" s="6" t="s">
        <v>565</v>
      </c>
      <c r="C49" s="6" t="s">
        <v>566</v>
      </c>
      <c r="D49" s="6" t="s">
        <v>567</v>
      </c>
      <c r="E49" s="6" t="s">
        <v>568</v>
      </c>
      <c r="F49" s="6" t="s">
        <v>24</v>
      </c>
      <c r="G49" s="6" t="s">
        <v>260</v>
      </c>
      <c r="H49" s="6" t="s">
        <v>28</v>
      </c>
      <c r="I49" s="6" t="s">
        <v>44</v>
      </c>
      <c r="J49" s="6" t="s">
        <v>49</v>
      </c>
      <c r="K49" s="6" t="s">
        <v>96</v>
      </c>
      <c r="L49" s="6" t="s">
        <v>569</v>
      </c>
      <c r="M49" s="6" t="s">
        <v>49</v>
      </c>
      <c r="N49" s="6" t="s">
        <v>570</v>
      </c>
      <c r="O49" s="6" t="s">
        <v>571</v>
      </c>
      <c r="P49" s="6" t="s">
        <v>572</v>
      </c>
      <c r="Q49" s="6" t="s">
        <v>573</v>
      </c>
      <c r="R49" s="6" t="s">
        <v>230</v>
      </c>
      <c r="S49" s="6" t="s">
        <v>103</v>
      </c>
      <c r="T49" s="6" t="s">
        <v>265</v>
      </c>
      <c r="U49" s="6" t="s">
        <v>574</v>
      </c>
      <c r="V49" s="6" t="s">
        <v>575</v>
      </c>
      <c r="W49" s="6" t="n">
        <v>18</v>
      </c>
      <c r="X49" s="6" t="s">
        <v>34</v>
      </c>
      <c r="Y49" s="6" t="s">
        <v>106</v>
      </c>
      <c r="Z49" s="6" t="s">
        <v>40</v>
      </c>
      <c r="AA49" s="6" t="s">
        <v>160</v>
      </c>
      <c r="AB49" s="6" t="s">
        <v>267</v>
      </c>
      <c r="AC49" s="6" t="s">
        <v>265</v>
      </c>
      <c r="AD49" s="6" t="s">
        <v>576</v>
      </c>
      <c r="AE49" s="6" t="s">
        <v>52</v>
      </c>
    </row>
    <row r="50" customFormat="false" ht="23.85" hidden="false" customHeight="false" outlineLevel="0" collapsed="false">
      <c r="A50" s="6" t="s">
        <v>577</v>
      </c>
      <c r="B50" s="6" t="s">
        <v>578</v>
      </c>
      <c r="C50" s="6" t="s">
        <v>579</v>
      </c>
      <c r="D50" s="6" t="s">
        <v>567</v>
      </c>
      <c r="E50" s="6" t="s">
        <v>568</v>
      </c>
      <c r="F50" s="6" t="s">
        <v>25</v>
      </c>
      <c r="G50" s="6" t="s">
        <v>191</v>
      </c>
      <c r="H50" s="6" t="s">
        <v>28</v>
      </c>
      <c r="I50" s="6" t="s">
        <v>45</v>
      </c>
      <c r="J50" s="6" t="s">
        <v>49</v>
      </c>
      <c r="K50" s="6" t="s">
        <v>96</v>
      </c>
      <c r="L50" s="6" t="s">
        <v>580</v>
      </c>
      <c r="M50" s="6" t="s">
        <v>49</v>
      </c>
      <c r="N50" s="6" t="s">
        <v>581</v>
      </c>
      <c r="O50" s="6" t="s">
        <v>582</v>
      </c>
      <c r="P50" s="6" t="s">
        <v>583</v>
      </c>
      <c r="Q50" s="6" t="s">
        <v>573</v>
      </c>
      <c r="R50" s="6" t="s">
        <v>230</v>
      </c>
      <c r="S50" s="6" t="s">
        <v>103</v>
      </c>
      <c r="T50" s="6" t="s">
        <v>564</v>
      </c>
      <c r="U50" s="6" t="s">
        <v>584</v>
      </c>
      <c r="V50" s="6" t="s">
        <v>305</v>
      </c>
      <c r="W50" s="6" t="n">
        <v>63</v>
      </c>
      <c r="X50" s="6" t="s">
        <v>36</v>
      </c>
      <c r="Y50" s="6" t="s">
        <v>106</v>
      </c>
      <c r="Z50" s="6" t="s">
        <v>40</v>
      </c>
      <c r="AA50" s="6" t="s">
        <v>160</v>
      </c>
      <c r="AB50" s="6"/>
      <c r="AC50" s="6" t="s">
        <v>564</v>
      </c>
      <c r="AD50" s="6" t="s">
        <v>585</v>
      </c>
      <c r="AE50" s="6" t="s">
        <v>52</v>
      </c>
    </row>
    <row r="51" customFormat="false" ht="23.85" hidden="false" customHeight="false" outlineLevel="0" collapsed="false">
      <c r="A51" s="6" t="s">
        <v>586</v>
      </c>
      <c r="B51" s="6" t="s">
        <v>587</v>
      </c>
      <c r="C51" s="6" t="s">
        <v>588</v>
      </c>
      <c r="D51" s="6" t="s">
        <v>567</v>
      </c>
      <c r="E51" s="6" t="s">
        <v>568</v>
      </c>
      <c r="F51" s="6" t="s">
        <v>26</v>
      </c>
      <c r="G51" s="6" t="s">
        <v>141</v>
      </c>
      <c r="H51" s="6" t="s">
        <v>28</v>
      </c>
      <c r="I51" s="6" t="s">
        <v>44</v>
      </c>
      <c r="J51" s="6" t="s">
        <v>49</v>
      </c>
      <c r="K51" s="6" t="s">
        <v>96</v>
      </c>
      <c r="L51" s="6" t="s">
        <v>589</v>
      </c>
      <c r="M51" s="6" t="s">
        <v>49</v>
      </c>
      <c r="N51" s="6" t="s">
        <v>590</v>
      </c>
      <c r="O51" s="6" t="s">
        <v>591</v>
      </c>
      <c r="P51" s="6" t="s">
        <v>592</v>
      </c>
      <c r="Q51" s="6" t="s">
        <v>573</v>
      </c>
      <c r="R51" s="6" t="s">
        <v>230</v>
      </c>
      <c r="S51" s="6" t="s">
        <v>593</v>
      </c>
      <c r="T51" s="6" t="s">
        <v>564</v>
      </c>
      <c r="U51" s="6"/>
      <c r="V51" s="6" t="s">
        <v>594</v>
      </c>
      <c r="W51" s="6" t="n">
        <v>19</v>
      </c>
      <c r="X51" s="6" t="s">
        <v>34</v>
      </c>
      <c r="Y51" s="6" t="s">
        <v>106</v>
      </c>
      <c r="Z51" s="6" t="s">
        <v>40</v>
      </c>
      <c r="AA51" s="6" t="s">
        <v>160</v>
      </c>
      <c r="AB51" s="6" t="s">
        <v>595</v>
      </c>
      <c r="AC51" s="6"/>
      <c r="AD51" s="6" t="s">
        <v>596</v>
      </c>
      <c r="AE51" s="6" t="s">
        <v>52</v>
      </c>
    </row>
    <row r="52" customFormat="false" ht="23.85" hidden="false" customHeight="false" outlineLevel="0" collapsed="false">
      <c r="A52" s="6" t="s">
        <v>597</v>
      </c>
      <c r="B52" s="6" t="s">
        <v>598</v>
      </c>
      <c r="C52" s="6" t="s">
        <v>599</v>
      </c>
      <c r="D52" s="6" t="s">
        <v>567</v>
      </c>
      <c r="E52" s="6" t="s">
        <v>568</v>
      </c>
      <c r="F52" s="6" t="s">
        <v>26</v>
      </c>
      <c r="G52" s="6" t="s">
        <v>141</v>
      </c>
      <c r="H52" s="6" t="s">
        <v>28</v>
      </c>
      <c r="I52" s="6" t="s">
        <v>44</v>
      </c>
      <c r="J52" s="6" t="s">
        <v>49</v>
      </c>
      <c r="K52" s="6" t="s">
        <v>96</v>
      </c>
      <c r="L52" s="6" t="s">
        <v>600</v>
      </c>
      <c r="M52" s="6" t="s">
        <v>49</v>
      </c>
      <c r="N52" s="6" t="s">
        <v>601</v>
      </c>
      <c r="O52" s="6" t="s">
        <v>591</v>
      </c>
      <c r="P52" s="6" t="s">
        <v>602</v>
      </c>
      <c r="Q52" s="6" t="s">
        <v>573</v>
      </c>
      <c r="R52" s="6" t="s">
        <v>230</v>
      </c>
      <c r="S52" s="6" t="s">
        <v>593</v>
      </c>
      <c r="T52" s="6" t="s">
        <v>564</v>
      </c>
      <c r="U52" s="6"/>
      <c r="V52" s="6" t="s">
        <v>594</v>
      </c>
      <c r="W52" s="6" t="n">
        <v>20</v>
      </c>
      <c r="X52" s="6" t="s">
        <v>34</v>
      </c>
      <c r="Y52" s="6" t="s">
        <v>106</v>
      </c>
      <c r="Z52" s="6" t="s">
        <v>40</v>
      </c>
      <c r="AA52" s="6" t="s">
        <v>160</v>
      </c>
      <c r="AB52" s="6" t="s">
        <v>595</v>
      </c>
      <c r="AC52" s="6"/>
      <c r="AD52" s="6" t="s">
        <v>603</v>
      </c>
      <c r="AE52" s="6" t="s">
        <v>52</v>
      </c>
    </row>
    <row r="53" customFormat="false" ht="35.05" hidden="false" customHeight="false" outlineLevel="0" collapsed="false">
      <c r="A53" s="6" t="s">
        <v>392</v>
      </c>
      <c r="B53" s="6" t="s">
        <v>604</v>
      </c>
      <c r="C53" s="6" t="s">
        <v>605</v>
      </c>
      <c r="D53" s="6" t="s">
        <v>567</v>
      </c>
      <c r="E53" s="6" t="s">
        <v>568</v>
      </c>
      <c r="F53" s="6" t="s">
        <v>26</v>
      </c>
      <c r="G53" s="6" t="s">
        <v>141</v>
      </c>
      <c r="H53" s="6" t="s">
        <v>28</v>
      </c>
      <c r="I53" s="6" t="s">
        <v>44</v>
      </c>
      <c r="J53" s="6" t="s">
        <v>49</v>
      </c>
      <c r="K53" s="6" t="s">
        <v>372</v>
      </c>
      <c r="L53" s="6" t="s">
        <v>606</v>
      </c>
      <c r="M53" s="6" t="s">
        <v>49</v>
      </c>
      <c r="N53" s="6" t="s">
        <v>607</v>
      </c>
      <c r="O53" s="6" t="s">
        <v>608</v>
      </c>
      <c r="P53" s="6" t="s">
        <v>609</v>
      </c>
      <c r="Q53" s="6" t="s">
        <v>376</v>
      </c>
      <c r="R53" s="6" t="s">
        <v>101</v>
      </c>
      <c r="S53" s="6" t="s">
        <v>103</v>
      </c>
      <c r="T53" s="6" t="s">
        <v>564</v>
      </c>
      <c r="U53" s="6"/>
      <c r="V53" s="6" t="s">
        <v>389</v>
      </c>
      <c r="W53" s="6" t="n">
        <v>23</v>
      </c>
      <c r="X53" s="6" t="s">
        <v>34</v>
      </c>
      <c r="Y53" s="6" t="s">
        <v>106</v>
      </c>
      <c r="Z53" s="6" t="s">
        <v>41</v>
      </c>
      <c r="AA53" s="6" t="s">
        <v>610</v>
      </c>
      <c r="AB53" s="6" t="s">
        <v>391</v>
      </c>
      <c r="AC53" s="6" t="s">
        <v>597</v>
      </c>
      <c r="AD53" s="6" t="s">
        <v>611</v>
      </c>
      <c r="AE53" s="6" t="s">
        <v>52</v>
      </c>
    </row>
    <row r="54" customFormat="false" ht="23.85" hidden="false" customHeight="false" outlineLevel="0" collapsed="false">
      <c r="A54" s="6" t="s">
        <v>612</v>
      </c>
      <c r="B54" s="6" t="s">
        <v>613</v>
      </c>
      <c r="C54" s="6" t="s">
        <v>614</v>
      </c>
      <c r="D54" s="6" t="s">
        <v>567</v>
      </c>
      <c r="E54" s="6" t="s">
        <v>568</v>
      </c>
      <c r="F54" s="6" t="s">
        <v>26</v>
      </c>
      <c r="G54" s="6" t="s">
        <v>127</v>
      </c>
      <c r="H54" s="6" t="s">
        <v>31</v>
      </c>
      <c r="I54" s="6" t="s">
        <v>44</v>
      </c>
      <c r="J54" s="6" t="s">
        <v>49</v>
      </c>
      <c r="K54" s="6" t="s">
        <v>96</v>
      </c>
      <c r="L54" s="6" t="s">
        <v>615</v>
      </c>
      <c r="M54" s="6" t="s">
        <v>49</v>
      </c>
      <c r="N54" s="6" t="s">
        <v>616</v>
      </c>
      <c r="O54" s="6" t="s">
        <v>617</v>
      </c>
      <c r="P54" s="6" t="s">
        <v>618</v>
      </c>
      <c r="Q54" s="6" t="s">
        <v>573</v>
      </c>
      <c r="R54" s="6" t="s">
        <v>230</v>
      </c>
      <c r="S54" s="6" t="s">
        <v>619</v>
      </c>
      <c r="T54" s="6" t="s">
        <v>564</v>
      </c>
      <c r="U54" s="6"/>
      <c r="V54" s="6" t="s">
        <v>594</v>
      </c>
      <c r="W54" s="6" t="n">
        <v>21</v>
      </c>
      <c r="X54" s="6" t="s">
        <v>34</v>
      </c>
      <c r="Y54" s="6" t="s">
        <v>106</v>
      </c>
      <c r="Z54" s="6" t="s">
        <v>40</v>
      </c>
      <c r="AA54" s="6" t="s">
        <v>160</v>
      </c>
      <c r="AB54" s="6" t="s">
        <v>595</v>
      </c>
      <c r="AC54" s="6" t="s">
        <v>586</v>
      </c>
      <c r="AD54" s="6" t="s">
        <v>620</v>
      </c>
      <c r="AE54" s="6" t="s">
        <v>52</v>
      </c>
    </row>
    <row r="55" customFormat="false" ht="23.85" hidden="false" customHeight="false" outlineLevel="0" collapsed="false">
      <c r="A55" s="6" t="s">
        <v>621</v>
      </c>
      <c r="B55" s="6" t="s">
        <v>622</v>
      </c>
      <c r="C55" s="6" t="s">
        <v>623</v>
      </c>
      <c r="D55" s="6" t="s">
        <v>567</v>
      </c>
      <c r="E55" s="6" t="s">
        <v>568</v>
      </c>
      <c r="F55" s="6" t="s">
        <v>26</v>
      </c>
      <c r="G55" s="6" t="s">
        <v>141</v>
      </c>
      <c r="H55" s="6" t="s">
        <v>28</v>
      </c>
      <c r="I55" s="6" t="s">
        <v>46</v>
      </c>
      <c r="J55" s="6" t="s">
        <v>50</v>
      </c>
      <c r="K55" s="6" t="s">
        <v>96</v>
      </c>
      <c r="L55" s="6" t="s">
        <v>624</v>
      </c>
      <c r="M55" s="6" t="s">
        <v>50</v>
      </c>
      <c r="N55" s="6" t="s">
        <v>625</v>
      </c>
      <c r="O55" s="6" t="s">
        <v>591</v>
      </c>
      <c r="P55" s="6" t="s">
        <v>592</v>
      </c>
      <c r="Q55" s="6" t="s">
        <v>626</v>
      </c>
      <c r="R55" s="6" t="s">
        <v>230</v>
      </c>
      <c r="S55" s="6" t="s">
        <v>347</v>
      </c>
      <c r="T55" s="6" t="s">
        <v>564</v>
      </c>
      <c r="U55" s="6"/>
      <c r="V55" s="6" t="s">
        <v>627</v>
      </c>
      <c r="W55" s="6" t="n">
        <v>22</v>
      </c>
      <c r="X55" s="6" t="s">
        <v>34</v>
      </c>
      <c r="Y55" s="6" t="s">
        <v>106</v>
      </c>
      <c r="Z55" s="6" t="s">
        <v>40</v>
      </c>
      <c r="AA55" s="6" t="s">
        <v>160</v>
      </c>
      <c r="AB55" s="6" t="s">
        <v>595</v>
      </c>
      <c r="AC55" s="6" t="s">
        <v>586</v>
      </c>
      <c r="AD55" s="6" t="s">
        <v>628</v>
      </c>
      <c r="AE55" s="6" t="s">
        <v>52</v>
      </c>
    </row>
    <row r="56" customFormat="false" ht="35.05" hidden="false" customHeight="false" outlineLevel="0" collapsed="false">
      <c r="A56" s="6" t="s">
        <v>629</v>
      </c>
      <c r="B56" s="6" t="s">
        <v>630</v>
      </c>
      <c r="C56" s="6" t="s">
        <v>631</v>
      </c>
      <c r="D56" s="6" t="s">
        <v>567</v>
      </c>
      <c r="E56" s="6" t="s">
        <v>568</v>
      </c>
      <c r="F56" s="6" t="s">
        <v>26</v>
      </c>
      <c r="G56" s="6" t="s">
        <v>127</v>
      </c>
      <c r="H56" s="6" t="s">
        <v>28</v>
      </c>
      <c r="I56" s="6" t="s">
        <v>44</v>
      </c>
      <c r="J56" s="6" t="s">
        <v>49</v>
      </c>
      <c r="K56" s="6" t="s">
        <v>360</v>
      </c>
      <c r="L56" s="6" t="s">
        <v>632</v>
      </c>
      <c r="M56" s="6" t="s">
        <v>633</v>
      </c>
      <c r="N56" s="6" t="s">
        <v>634</v>
      </c>
      <c r="O56" s="6" t="s">
        <v>635</v>
      </c>
      <c r="P56" s="6" t="s">
        <v>636</v>
      </c>
      <c r="Q56" s="6" t="s">
        <v>637</v>
      </c>
      <c r="R56" s="6" t="s">
        <v>132</v>
      </c>
      <c r="S56" s="6" t="s">
        <v>103</v>
      </c>
      <c r="T56" s="6" t="s">
        <v>638</v>
      </c>
      <c r="U56" s="6"/>
      <c r="V56" s="6" t="s">
        <v>639</v>
      </c>
      <c r="W56" s="6" t="n">
        <v>28</v>
      </c>
      <c r="X56" s="6" t="s">
        <v>34</v>
      </c>
      <c r="Y56" s="6" t="s">
        <v>106</v>
      </c>
      <c r="Z56" s="6" t="s">
        <v>42</v>
      </c>
      <c r="AA56" s="6" t="s">
        <v>173</v>
      </c>
      <c r="AB56" s="6" t="s">
        <v>640</v>
      </c>
      <c r="AC56" s="6" t="s">
        <v>641</v>
      </c>
      <c r="AD56" s="6" t="s">
        <v>642</v>
      </c>
      <c r="AE56" s="6" t="s">
        <v>52</v>
      </c>
    </row>
    <row r="57" customFormat="false" ht="23.85" hidden="false" customHeight="false" outlineLevel="0" collapsed="false">
      <c r="A57" s="6" t="s">
        <v>584</v>
      </c>
      <c r="B57" s="6" t="s">
        <v>643</v>
      </c>
      <c r="C57" s="6" t="s">
        <v>644</v>
      </c>
      <c r="D57" s="6" t="s">
        <v>567</v>
      </c>
      <c r="E57" s="6" t="s">
        <v>568</v>
      </c>
      <c r="F57" s="6" t="s">
        <v>26</v>
      </c>
      <c r="G57" s="6" t="s">
        <v>204</v>
      </c>
      <c r="H57" s="6" t="s">
        <v>30</v>
      </c>
      <c r="I57" s="6" t="s">
        <v>45</v>
      </c>
      <c r="J57" s="6" t="s">
        <v>49</v>
      </c>
      <c r="K57" s="6" t="s">
        <v>372</v>
      </c>
      <c r="L57" s="6" t="s">
        <v>645</v>
      </c>
      <c r="M57" s="6" t="s">
        <v>49</v>
      </c>
      <c r="N57" s="6" t="s">
        <v>646</v>
      </c>
      <c r="O57" s="6" t="s">
        <v>647</v>
      </c>
      <c r="P57" s="6" t="s">
        <v>648</v>
      </c>
      <c r="Q57" s="6" t="s">
        <v>573</v>
      </c>
      <c r="R57" s="6" t="s">
        <v>573</v>
      </c>
      <c r="S57" s="6" t="s">
        <v>103</v>
      </c>
      <c r="T57" s="6" t="s">
        <v>577</v>
      </c>
      <c r="U57" s="6"/>
      <c r="V57" s="6" t="s">
        <v>649</v>
      </c>
      <c r="W57" s="6" t="n">
        <v>64</v>
      </c>
      <c r="X57" s="6" t="s">
        <v>36</v>
      </c>
      <c r="Y57" s="6" t="s">
        <v>106</v>
      </c>
      <c r="Z57" s="6" t="s">
        <v>40</v>
      </c>
      <c r="AA57" s="6" t="s">
        <v>160</v>
      </c>
      <c r="AB57" s="6"/>
      <c r="AC57" s="6" t="s">
        <v>577</v>
      </c>
      <c r="AD57" s="6" t="s">
        <v>650</v>
      </c>
      <c r="AE57" s="6" t="s">
        <v>52</v>
      </c>
    </row>
    <row r="58" customFormat="false" ht="35.05" hidden="false" customHeight="false" outlineLevel="0" collapsed="false">
      <c r="A58" s="6" t="s">
        <v>651</v>
      </c>
      <c r="B58" s="6" t="s">
        <v>652</v>
      </c>
      <c r="C58" s="6" t="s">
        <v>653</v>
      </c>
      <c r="D58" s="6" t="s">
        <v>567</v>
      </c>
      <c r="E58" s="6" t="s">
        <v>654</v>
      </c>
      <c r="F58" s="6" t="s">
        <v>26</v>
      </c>
      <c r="G58" s="6" t="s">
        <v>141</v>
      </c>
      <c r="H58" s="6" t="s">
        <v>28</v>
      </c>
      <c r="I58" s="6" t="s">
        <v>44</v>
      </c>
      <c r="J58" s="6" t="s">
        <v>48</v>
      </c>
      <c r="K58" s="6" t="s">
        <v>192</v>
      </c>
      <c r="L58" s="6" t="s">
        <v>655</v>
      </c>
      <c r="M58" s="6" t="s">
        <v>48</v>
      </c>
      <c r="N58" s="6" t="s">
        <v>656</v>
      </c>
      <c r="O58" s="6" t="s">
        <v>657</v>
      </c>
      <c r="P58" s="6" t="s">
        <v>658</v>
      </c>
      <c r="Q58" s="6" t="s">
        <v>101</v>
      </c>
      <c r="R58" s="6" t="s">
        <v>132</v>
      </c>
      <c r="S58" s="6" t="s">
        <v>347</v>
      </c>
      <c r="T58" s="6" t="s">
        <v>186</v>
      </c>
      <c r="U58" s="6" t="s">
        <v>659</v>
      </c>
      <c r="V58" s="6" t="s">
        <v>660</v>
      </c>
      <c r="W58" s="6" t="n">
        <v>32</v>
      </c>
      <c r="X58" s="6" t="s">
        <v>34</v>
      </c>
      <c r="Y58" s="6" t="s">
        <v>106</v>
      </c>
      <c r="Z58" s="6" t="s">
        <v>42</v>
      </c>
      <c r="AA58" s="6" t="s">
        <v>120</v>
      </c>
      <c r="AB58" s="6" t="s">
        <v>661</v>
      </c>
      <c r="AC58" s="6" t="s">
        <v>662</v>
      </c>
      <c r="AD58" s="6" t="s">
        <v>663</v>
      </c>
      <c r="AE58" s="6" t="s">
        <v>52</v>
      </c>
    </row>
    <row r="59" customFormat="false" ht="35.05" hidden="false" customHeight="false" outlineLevel="0" collapsed="false">
      <c r="A59" s="6" t="s">
        <v>659</v>
      </c>
      <c r="B59" s="6" t="s">
        <v>664</v>
      </c>
      <c r="C59" s="6" t="s">
        <v>665</v>
      </c>
      <c r="D59" s="6" t="s">
        <v>567</v>
      </c>
      <c r="E59" s="6" t="s">
        <v>654</v>
      </c>
      <c r="F59" s="6" t="s">
        <v>25</v>
      </c>
      <c r="G59" s="6" t="s">
        <v>248</v>
      </c>
      <c r="H59" s="6" t="s">
        <v>28</v>
      </c>
      <c r="I59" s="6" t="s">
        <v>45</v>
      </c>
      <c r="J59" s="6" t="s">
        <v>48</v>
      </c>
      <c r="K59" s="6" t="s">
        <v>114</v>
      </c>
      <c r="L59" s="6" t="s">
        <v>666</v>
      </c>
      <c r="M59" s="6" t="s">
        <v>49</v>
      </c>
      <c r="N59" s="6" t="s">
        <v>667</v>
      </c>
      <c r="O59" s="6" t="s">
        <v>668</v>
      </c>
      <c r="P59" s="6" t="s">
        <v>669</v>
      </c>
      <c r="Q59" s="6" t="s">
        <v>101</v>
      </c>
      <c r="R59" s="6" t="s">
        <v>132</v>
      </c>
      <c r="S59" s="6" t="s">
        <v>347</v>
      </c>
      <c r="T59" s="6" t="s">
        <v>651</v>
      </c>
      <c r="U59" s="6"/>
      <c r="V59" s="6" t="s">
        <v>305</v>
      </c>
      <c r="W59" s="6" t="n">
        <v>40</v>
      </c>
      <c r="X59" s="6" t="s">
        <v>35</v>
      </c>
      <c r="Y59" s="6" t="s">
        <v>106</v>
      </c>
      <c r="Z59" s="6" t="s">
        <v>41</v>
      </c>
      <c r="AA59" s="6" t="s">
        <v>325</v>
      </c>
      <c r="AB59" s="6" t="s">
        <v>661</v>
      </c>
      <c r="AC59" s="6" t="s">
        <v>651</v>
      </c>
      <c r="AD59" s="6" t="s">
        <v>670</v>
      </c>
      <c r="AE59" s="6" t="s">
        <v>52</v>
      </c>
    </row>
    <row r="60" customFormat="false" ht="35.05" hidden="false" customHeight="false" outlineLevel="0" collapsed="false">
      <c r="A60" s="6" t="s">
        <v>671</v>
      </c>
      <c r="B60" s="6" t="s">
        <v>672</v>
      </c>
      <c r="C60" s="6" t="s">
        <v>673</v>
      </c>
      <c r="D60" s="6" t="s">
        <v>567</v>
      </c>
      <c r="E60" s="6" t="s">
        <v>654</v>
      </c>
      <c r="F60" s="6" t="s">
        <v>26</v>
      </c>
      <c r="G60" s="6" t="s">
        <v>127</v>
      </c>
      <c r="H60" s="6" t="s">
        <v>28</v>
      </c>
      <c r="I60" s="6" t="s">
        <v>45</v>
      </c>
      <c r="J60" s="6" t="s">
        <v>48</v>
      </c>
      <c r="K60" s="6" t="s">
        <v>360</v>
      </c>
      <c r="L60" s="6" t="s">
        <v>674</v>
      </c>
      <c r="M60" s="6" t="s">
        <v>48</v>
      </c>
      <c r="N60" s="6" t="s">
        <v>675</v>
      </c>
      <c r="O60" s="6" t="s">
        <v>676</v>
      </c>
      <c r="P60" s="6" t="s">
        <v>677</v>
      </c>
      <c r="Q60" s="6" t="s">
        <v>101</v>
      </c>
      <c r="R60" s="6" t="s">
        <v>132</v>
      </c>
      <c r="S60" s="6" t="s">
        <v>103</v>
      </c>
      <c r="T60" s="6" t="s">
        <v>186</v>
      </c>
      <c r="U60" s="6"/>
      <c r="V60" s="6" t="s">
        <v>660</v>
      </c>
      <c r="W60" s="6" t="n">
        <v>33</v>
      </c>
      <c r="X60" s="6" t="s">
        <v>34</v>
      </c>
      <c r="Y60" s="6" t="s">
        <v>106</v>
      </c>
      <c r="Z60" s="6" t="s">
        <v>42</v>
      </c>
      <c r="AA60" s="6" t="s">
        <v>120</v>
      </c>
      <c r="AB60" s="6" t="s">
        <v>678</v>
      </c>
      <c r="AC60" s="6" t="s">
        <v>651</v>
      </c>
      <c r="AD60" s="6" t="s">
        <v>679</v>
      </c>
      <c r="AE60" s="6" t="s">
        <v>52</v>
      </c>
    </row>
    <row r="61" customFormat="false" ht="35.05" hidden="false" customHeight="false" outlineLevel="0" collapsed="false">
      <c r="A61" s="6" t="s">
        <v>680</v>
      </c>
      <c r="B61" s="6" t="s">
        <v>681</v>
      </c>
      <c r="C61" s="6" t="s">
        <v>682</v>
      </c>
      <c r="D61" s="6" t="s">
        <v>567</v>
      </c>
      <c r="E61" s="6" t="s">
        <v>654</v>
      </c>
      <c r="F61" s="6" t="s">
        <v>24</v>
      </c>
      <c r="G61" s="6" t="s">
        <v>260</v>
      </c>
      <c r="H61" s="6" t="s">
        <v>31</v>
      </c>
      <c r="I61" s="6" t="s">
        <v>44</v>
      </c>
      <c r="J61" s="6" t="s">
        <v>49</v>
      </c>
      <c r="K61" s="6" t="s">
        <v>96</v>
      </c>
      <c r="L61" s="6" t="s">
        <v>683</v>
      </c>
      <c r="M61" s="6" t="s">
        <v>49</v>
      </c>
      <c r="N61" s="6" t="s">
        <v>684</v>
      </c>
      <c r="O61" s="6" t="s">
        <v>685</v>
      </c>
      <c r="P61" s="6" t="s">
        <v>686</v>
      </c>
      <c r="Q61" s="6" t="s">
        <v>101</v>
      </c>
      <c r="R61" s="6" t="s">
        <v>230</v>
      </c>
      <c r="S61" s="6" t="s">
        <v>103</v>
      </c>
      <c r="T61" s="6" t="s">
        <v>265</v>
      </c>
      <c r="U61" s="6" t="s">
        <v>687</v>
      </c>
      <c r="V61" s="6" t="s">
        <v>575</v>
      </c>
      <c r="W61" s="6" t="n">
        <v>65</v>
      </c>
      <c r="X61" s="6" t="s">
        <v>36</v>
      </c>
      <c r="Y61" s="6" t="s">
        <v>106</v>
      </c>
      <c r="Z61" s="6" t="s">
        <v>41</v>
      </c>
      <c r="AA61" s="6" t="s">
        <v>325</v>
      </c>
      <c r="AB61" s="6" t="s">
        <v>688</v>
      </c>
      <c r="AC61" s="6" t="s">
        <v>265</v>
      </c>
      <c r="AD61" s="6" t="s">
        <v>689</v>
      </c>
      <c r="AE61" s="6" t="s">
        <v>52</v>
      </c>
    </row>
    <row r="62" customFormat="false" ht="35.05" hidden="false" customHeight="false" outlineLevel="0" collapsed="false">
      <c r="A62" s="6" t="s">
        <v>690</v>
      </c>
      <c r="B62" s="6" t="s">
        <v>691</v>
      </c>
      <c r="C62" s="6" t="s">
        <v>692</v>
      </c>
      <c r="D62" s="6" t="s">
        <v>567</v>
      </c>
      <c r="E62" s="6" t="s">
        <v>654</v>
      </c>
      <c r="F62" s="6" t="s">
        <v>25</v>
      </c>
      <c r="G62" s="6" t="s">
        <v>191</v>
      </c>
      <c r="H62" s="6" t="s">
        <v>31</v>
      </c>
      <c r="I62" s="6" t="s">
        <v>45</v>
      </c>
      <c r="J62" s="6" t="s">
        <v>49</v>
      </c>
      <c r="K62" s="6" t="s">
        <v>96</v>
      </c>
      <c r="L62" s="6" t="s">
        <v>693</v>
      </c>
      <c r="M62" s="6" t="s">
        <v>49</v>
      </c>
      <c r="N62" s="6" t="s">
        <v>694</v>
      </c>
      <c r="O62" s="6" t="s">
        <v>685</v>
      </c>
      <c r="P62" s="6" t="s">
        <v>686</v>
      </c>
      <c r="Q62" s="6" t="s">
        <v>101</v>
      </c>
      <c r="R62" s="6" t="s">
        <v>230</v>
      </c>
      <c r="S62" s="6" t="s">
        <v>103</v>
      </c>
      <c r="T62" s="6" t="s">
        <v>680</v>
      </c>
      <c r="U62" s="6" t="s">
        <v>695</v>
      </c>
      <c r="V62" s="6" t="s">
        <v>305</v>
      </c>
      <c r="W62" s="6" t="n">
        <v>66</v>
      </c>
      <c r="X62" s="6" t="s">
        <v>36</v>
      </c>
      <c r="Y62" s="6" t="s">
        <v>106</v>
      </c>
      <c r="Z62" s="6" t="s">
        <v>41</v>
      </c>
      <c r="AA62" s="6" t="s">
        <v>696</v>
      </c>
      <c r="AB62" s="6" t="s">
        <v>688</v>
      </c>
      <c r="AC62" s="6" t="s">
        <v>680</v>
      </c>
      <c r="AD62" s="6" t="s">
        <v>697</v>
      </c>
      <c r="AE62" s="6" t="s">
        <v>52</v>
      </c>
    </row>
    <row r="63" customFormat="false" ht="35.05" hidden="false" customHeight="false" outlineLevel="0" collapsed="false">
      <c r="A63" s="6" t="s">
        <v>698</v>
      </c>
      <c r="B63" s="6" t="s">
        <v>699</v>
      </c>
      <c r="C63" s="6" t="s">
        <v>700</v>
      </c>
      <c r="D63" s="6" t="s">
        <v>567</v>
      </c>
      <c r="E63" s="6" t="s">
        <v>654</v>
      </c>
      <c r="F63" s="6" t="s">
        <v>26</v>
      </c>
      <c r="G63" s="6" t="s">
        <v>141</v>
      </c>
      <c r="H63" s="6" t="s">
        <v>31</v>
      </c>
      <c r="I63" s="6" t="s">
        <v>45</v>
      </c>
      <c r="J63" s="6" t="s">
        <v>49</v>
      </c>
      <c r="K63" s="6" t="s">
        <v>96</v>
      </c>
      <c r="L63" s="6" t="s">
        <v>693</v>
      </c>
      <c r="M63" s="6" t="s">
        <v>49</v>
      </c>
      <c r="N63" s="6" t="s">
        <v>701</v>
      </c>
      <c r="O63" s="6" t="s">
        <v>685</v>
      </c>
      <c r="P63" s="6" t="s">
        <v>702</v>
      </c>
      <c r="Q63" s="6" t="s">
        <v>101</v>
      </c>
      <c r="R63" s="6" t="s">
        <v>230</v>
      </c>
      <c r="S63" s="6" t="s">
        <v>703</v>
      </c>
      <c r="T63" s="6" t="s">
        <v>690</v>
      </c>
      <c r="U63" s="6"/>
      <c r="V63" s="6" t="s">
        <v>594</v>
      </c>
      <c r="W63" s="6" t="n">
        <v>67</v>
      </c>
      <c r="X63" s="6" t="s">
        <v>36</v>
      </c>
      <c r="Y63" s="6" t="s">
        <v>106</v>
      </c>
      <c r="Z63" s="6" t="s">
        <v>40</v>
      </c>
      <c r="AA63" s="6" t="s">
        <v>160</v>
      </c>
      <c r="AB63" s="6"/>
      <c r="AC63" s="6" t="s">
        <v>690</v>
      </c>
      <c r="AD63" s="6" t="s">
        <v>704</v>
      </c>
      <c r="AE63" s="6" t="s">
        <v>52</v>
      </c>
    </row>
    <row r="64" customFormat="false" ht="35.05" hidden="false" customHeight="false" outlineLevel="0" collapsed="false">
      <c r="A64" s="6" t="s">
        <v>705</v>
      </c>
      <c r="B64" s="6" t="s">
        <v>706</v>
      </c>
      <c r="C64" s="6" t="s">
        <v>707</v>
      </c>
      <c r="D64" s="6" t="s">
        <v>567</v>
      </c>
      <c r="E64" s="6" t="s">
        <v>654</v>
      </c>
      <c r="F64" s="6" t="s">
        <v>25</v>
      </c>
      <c r="G64" s="6" t="s">
        <v>191</v>
      </c>
      <c r="H64" s="6" t="s">
        <v>31</v>
      </c>
      <c r="I64" s="6" t="s">
        <v>45</v>
      </c>
      <c r="J64" s="6" t="s">
        <v>49</v>
      </c>
      <c r="K64" s="6" t="s">
        <v>96</v>
      </c>
      <c r="L64" s="6" t="s">
        <v>708</v>
      </c>
      <c r="M64" s="6" t="s">
        <v>49</v>
      </c>
      <c r="N64" s="6" t="s">
        <v>709</v>
      </c>
      <c r="O64" s="6" t="s">
        <v>710</v>
      </c>
      <c r="P64" s="6" t="s">
        <v>711</v>
      </c>
      <c r="Q64" s="6" t="s">
        <v>101</v>
      </c>
      <c r="R64" s="6" t="s">
        <v>230</v>
      </c>
      <c r="S64" s="6" t="s">
        <v>103</v>
      </c>
      <c r="T64" s="6" t="s">
        <v>680</v>
      </c>
      <c r="U64" s="6" t="s">
        <v>712</v>
      </c>
      <c r="V64" s="6" t="s">
        <v>575</v>
      </c>
      <c r="W64" s="6" t="n">
        <v>68</v>
      </c>
      <c r="X64" s="6" t="s">
        <v>36</v>
      </c>
      <c r="Y64" s="6" t="s">
        <v>106</v>
      </c>
      <c r="Z64" s="6" t="s">
        <v>42</v>
      </c>
      <c r="AA64" s="6" t="s">
        <v>173</v>
      </c>
      <c r="AB64" s="6" t="s">
        <v>688</v>
      </c>
      <c r="AC64" s="6" t="s">
        <v>680</v>
      </c>
      <c r="AD64" s="6" t="s">
        <v>713</v>
      </c>
      <c r="AE64" s="6" t="s">
        <v>52</v>
      </c>
    </row>
    <row r="65" customFormat="false" ht="35.05" hidden="false" customHeight="false" outlineLevel="0" collapsed="false">
      <c r="A65" s="6" t="s">
        <v>712</v>
      </c>
      <c r="B65" s="6" t="s">
        <v>714</v>
      </c>
      <c r="C65" s="6" t="s">
        <v>715</v>
      </c>
      <c r="D65" s="6" t="s">
        <v>567</v>
      </c>
      <c r="E65" s="6" t="s">
        <v>654</v>
      </c>
      <c r="F65" s="6" t="s">
        <v>26</v>
      </c>
      <c r="G65" s="6" t="s">
        <v>204</v>
      </c>
      <c r="H65" s="6" t="s">
        <v>31</v>
      </c>
      <c r="I65" s="6" t="s">
        <v>45</v>
      </c>
      <c r="J65" s="6" t="s">
        <v>49</v>
      </c>
      <c r="K65" s="6" t="s">
        <v>96</v>
      </c>
      <c r="L65" s="6" t="s">
        <v>716</v>
      </c>
      <c r="M65" s="6" t="s">
        <v>49</v>
      </c>
      <c r="N65" s="6" t="s">
        <v>717</v>
      </c>
      <c r="O65" s="6" t="s">
        <v>718</v>
      </c>
      <c r="P65" s="6" t="s">
        <v>711</v>
      </c>
      <c r="Q65" s="6" t="s">
        <v>101</v>
      </c>
      <c r="R65" s="6" t="s">
        <v>230</v>
      </c>
      <c r="S65" s="6" t="s">
        <v>103</v>
      </c>
      <c r="T65" s="6" t="s">
        <v>705</v>
      </c>
      <c r="U65" s="6"/>
      <c r="V65" s="6" t="s">
        <v>719</v>
      </c>
      <c r="W65" s="6" t="n">
        <v>69</v>
      </c>
      <c r="X65" s="6" t="s">
        <v>36</v>
      </c>
      <c r="Y65" s="6" t="s">
        <v>106</v>
      </c>
      <c r="Z65" s="6" t="s">
        <v>42</v>
      </c>
      <c r="AA65" s="6" t="s">
        <v>366</v>
      </c>
      <c r="AB65" s="6" t="s">
        <v>688</v>
      </c>
      <c r="AC65" s="6" t="s">
        <v>705</v>
      </c>
      <c r="AD65" s="6" t="s">
        <v>720</v>
      </c>
      <c r="AE65" s="6" t="s">
        <v>52</v>
      </c>
    </row>
    <row r="66" customFormat="false" ht="35.05" hidden="false" customHeight="false" outlineLevel="0" collapsed="false">
      <c r="A66" s="6" t="s">
        <v>721</v>
      </c>
      <c r="B66" s="6" t="s">
        <v>722</v>
      </c>
      <c r="C66" s="6" t="s">
        <v>723</v>
      </c>
      <c r="D66" s="6" t="s">
        <v>567</v>
      </c>
      <c r="E66" s="6" t="s">
        <v>654</v>
      </c>
      <c r="F66" s="6" t="s">
        <v>25</v>
      </c>
      <c r="G66" s="6" t="s">
        <v>191</v>
      </c>
      <c r="H66" s="6" t="s">
        <v>28</v>
      </c>
      <c r="I66" s="6" t="s">
        <v>46</v>
      </c>
      <c r="J66" s="6" t="s">
        <v>49</v>
      </c>
      <c r="K66" s="6" t="s">
        <v>114</v>
      </c>
      <c r="L66" s="6" t="s">
        <v>724</v>
      </c>
      <c r="M66" s="6" t="s">
        <v>49</v>
      </c>
      <c r="N66" s="6" t="s">
        <v>725</v>
      </c>
      <c r="O66" s="6" t="s">
        <v>726</v>
      </c>
      <c r="P66" s="6" t="s">
        <v>727</v>
      </c>
      <c r="Q66" s="6" t="s">
        <v>101</v>
      </c>
      <c r="R66" s="6" t="s">
        <v>230</v>
      </c>
      <c r="S66" s="6" t="s">
        <v>103</v>
      </c>
      <c r="T66" s="6" t="s">
        <v>186</v>
      </c>
      <c r="U66" s="6"/>
      <c r="V66" s="6" t="s">
        <v>575</v>
      </c>
      <c r="W66" s="6" t="n">
        <v>139</v>
      </c>
      <c r="X66" s="6" t="s">
        <v>38</v>
      </c>
      <c r="Y66" s="6" t="s">
        <v>106</v>
      </c>
      <c r="Z66" s="6" t="s">
        <v>42</v>
      </c>
      <c r="AA66" s="6" t="s">
        <v>728</v>
      </c>
      <c r="AB66" s="6"/>
      <c r="AC66" s="6" t="s">
        <v>186</v>
      </c>
      <c r="AD66" s="6" t="s">
        <v>729</v>
      </c>
      <c r="AE66" s="6" t="s">
        <v>52</v>
      </c>
    </row>
    <row r="67" customFormat="false" ht="35.05" hidden="false" customHeight="false" outlineLevel="0" collapsed="false">
      <c r="A67" s="6" t="s">
        <v>730</v>
      </c>
      <c r="B67" s="6" t="s">
        <v>731</v>
      </c>
      <c r="C67" s="6" t="s">
        <v>732</v>
      </c>
      <c r="D67" s="6" t="s">
        <v>567</v>
      </c>
      <c r="E67" s="6" t="s">
        <v>654</v>
      </c>
      <c r="F67" s="6" t="s">
        <v>25</v>
      </c>
      <c r="G67" s="6" t="s">
        <v>191</v>
      </c>
      <c r="H67" s="6" t="s">
        <v>31</v>
      </c>
      <c r="I67" s="6" t="s">
        <v>46</v>
      </c>
      <c r="J67" s="6" t="s">
        <v>50</v>
      </c>
      <c r="K67" s="6" t="s">
        <v>96</v>
      </c>
      <c r="L67" s="6" t="s">
        <v>733</v>
      </c>
      <c r="M67" s="6" t="s">
        <v>50</v>
      </c>
      <c r="N67" s="6" t="s">
        <v>734</v>
      </c>
      <c r="O67" s="6" t="s">
        <v>685</v>
      </c>
      <c r="P67" s="6" t="s">
        <v>735</v>
      </c>
      <c r="Q67" s="6" t="s">
        <v>101</v>
      </c>
      <c r="R67" s="6" t="s">
        <v>230</v>
      </c>
      <c r="S67" s="6" t="s">
        <v>103</v>
      </c>
      <c r="T67" s="6" t="s">
        <v>690</v>
      </c>
      <c r="U67" s="6"/>
      <c r="V67" s="6" t="s">
        <v>305</v>
      </c>
      <c r="W67" s="6" t="n">
        <v>140</v>
      </c>
      <c r="X67" s="6" t="s">
        <v>38</v>
      </c>
      <c r="Y67" s="6" t="s">
        <v>106</v>
      </c>
      <c r="Z67" s="6" t="s">
        <v>41</v>
      </c>
      <c r="AA67" s="6" t="s">
        <v>545</v>
      </c>
      <c r="AB67" s="6"/>
      <c r="AC67" s="6" t="s">
        <v>690</v>
      </c>
      <c r="AD67" s="6" t="s">
        <v>736</v>
      </c>
      <c r="AE67" s="6" t="s">
        <v>52</v>
      </c>
    </row>
    <row r="68" customFormat="false" ht="35.05" hidden="false" customHeight="false" outlineLevel="0" collapsed="false">
      <c r="A68" s="6" t="s">
        <v>737</v>
      </c>
      <c r="B68" s="6" t="s">
        <v>738</v>
      </c>
      <c r="C68" s="6" t="s">
        <v>739</v>
      </c>
      <c r="D68" s="6" t="s">
        <v>567</v>
      </c>
      <c r="E68" s="6" t="s">
        <v>740</v>
      </c>
      <c r="F68" s="6" t="s">
        <v>25</v>
      </c>
      <c r="G68" s="6" t="s">
        <v>191</v>
      </c>
      <c r="H68" s="6" t="s">
        <v>28</v>
      </c>
      <c r="I68" s="6" t="s">
        <v>45</v>
      </c>
      <c r="J68" s="6" t="s">
        <v>49</v>
      </c>
      <c r="K68" s="6" t="s">
        <v>114</v>
      </c>
      <c r="L68" s="6" t="s">
        <v>741</v>
      </c>
      <c r="M68" s="6" t="s">
        <v>49</v>
      </c>
      <c r="N68" s="6" t="s">
        <v>742</v>
      </c>
      <c r="O68" s="6" t="s">
        <v>743</v>
      </c>
      <c r="P68" s="6" t="s">
        <v>669</v>
      </c>
      <c r="Q68" s="6" t="s">
        <v>101</v>
      </c>
      <c r="R68" s="6" t="s">
        <v>132</v>
      </c>
      <c r="S68" s="6" t="s">
        <v>103</v>
      </c>
      <c r="T68" s="6" t="s">
        <v>265</v>
      </c>
      <c r="U68" s="6" t="s">
        <v>744</v>
      </c>
      <c r="V68" s="6" t="s">
        <v>305</v>
      </c>
      <c r="W68" s="6" t="n">
        <v>127</v>
      </c>
      <c r="X68" s="6" t="s">
        <v>37</v>
      </c>
      <c r="Y68" s="6" t="s">
        <v>106</v>
      </c>
      <c r="Z68" s="6" t="s">
        <v>40</v>
      </c>
      <c r="AA68" s="6" t="s">
        <v>160</v>
      </c>
      <c r="AB68" s="6"/>
      <c r="AC68" s="6" t="s">
        <v>265</v>
      </c>
      <c r="AD68" s="6" t="s">
        <v>745</v>
      </c>
      <c r="AE68" s="6" t="s">
        <v>52</v>
      </c>
    </row>
    <row r="69" customFormat="false" ht="35.05" hidden="false" customHeight="false" outlineLevel="0" collapsed="false">
      <c r="A69" s="6" t="s">
        <v>746</v>
      </c>
      <c r="B69" s="6" t="s">
        <v>747</v>
      </c>
      <c r="C69" s="6" t="s">
        <v>748</v>
      </c>
      <c r="D69" s="6" t="s">
        <v>567</v>
      </c>
      <c r="E69" s="6" t="s">
        <v>740</v>
      </c>
      <c r="F69" s="6" t="s">
        <v>26</v>
      </c>
      <c r="G69" s="6" t="s">
        <v>141</v>
      </c>
      <c r="H69" s="6" t="s">
        <v>28</v>
      </c>
      <c r="I69" s="6" t="s">
        <v>45</v>
      </c>
      <c r="J69" s="6" t="s">
        <v>48</v>
      </c>
      <c r="K69" s="6" t="s">
        <v>114</v>
      </c>
      <c r="L69" s="6" t="s">
        <v>749</v>
      </c>
      <c r="M69" s="6" t="s">
        <v>49</v>
      </c>
      <c r="N69" s="6" t="s">
        <v>742</v>
      </c>
      <c r="O69" s="6" t="s">
        <v>750</v>
      </c>
      <c r="P69" s="6" t="s">
        <v>669</v>
      </c>
      <c r="Q69" s="6" t="s">
        <v>101</v>
      </c>
      <c r="R69" s="6" t="s">
        <v>132</v>
      </c>
      <c r="S69" s="6" t="s">
        <v>751</v>
      </c>
      <c r="T69" s="6" t="s">
        <v>737</v>
      </c>
      <c r="U69" s="6"/>
      <c r="V69" s="6" t="s">
        <v>210</v>
      </c>
      <c r="W69" s="6" t="n">
        <v>128</v>
      </c>
      <c r="X69" s="6" t="s">
        <v>37</v>
      </c>
      <c r="Y69" s="6" t="s">
        <v>106</v>
      </c>
      <c r="Z69" s="6" t="s">
        <v>40</v>
      </c>
      <c r="AA69" s="6" t="s">
        <v>160</v>
      </c>
      <c r="AB69" s="6"/>
      <c r="AC69" s="6" t="s">
        <v>737</v>
      </c>
      <c r="AD69" s="6" t="s">
        <v>752</v>
      </c>
      <c r="AE69" s="6" t="s">
        <v>52</v>
      </c>
    </row>
    <row r="70" customFormat="false" ht="35.05" hidden="false" customHeight="false" outlineLevel="0" collapsed="false">
      <c r="A70" s="6" t="s">
        <v>753</v>
      </c>
      <c r="B70" s="6" t="s">
        <v>754</v>
      </c>
      <c r="C70" s="6" t="s">
        <v>755</v>
      </c>
      <c r="D70" s="6" t="s">
        <v>567</v>
      </c>
      <c r="E70" s="6" t="s">
        <v>740</v>
      </c>
      <c r="F70" s="6" t="s">
        <v>25</v>
      </c>
      <c r="G70" s="6" t="s">
        <v>248</v>
      </c>
      <c r="H70" s="6" t="s">
        <v>28</v>
      </c>
      <c r="I70" s="6" t="s">
        <v>45</v>
      </c>
      <c r="J70" s="6" t="s">
        <v>49</v>
      </c>
      <c r="K70" s="6" t="s">
        <v>360</v>
      </c>
      <c r="L70" s="6" t="s">
        <v>756</v>
      </c>
      <c r="M70" s="6" t="s">
        <v>633</v>
      </c>
      <c r="N70" s="6" t="s">
        <v>757</v>
      </c>
      <c r="O70" s="6" t="s">
        <v>758</v>
      </c>
      <c r="P70" s="6" t="s">
        <v>759</v>
      </c>
      <c r="Q70" s="6" t="s">
        <v>101</v>
      </c>
      <c r="R70" s="6" t="s">
        <v>132</v>
      </c>
      <c r="S70" s="6" t="s">
        <v>103</v>
      </c>
      <c r="T70" s="6" t="s">
        <v>737</v>
      </c>
      <c r="U70" s="6" t="s">
        <v>760</v>
      </c>
      <c r="V70" s="6" t="s">
        <v>761</v>
      </c>
      <c r="W70" s="6" t="n">
        <v>129</v>
      </c>
      <c r="X70" s="6" t="s">
        <v>37</v>
      </c>
      <c r="Y70" s="6" t="s">
        <v>106</v>
      </c>
      <c r="Z70" s="6" t="s">
        <v>41</v>
      </c>
      <c r="AA70" s="6" t="s">
        <v>120</v>
      </c>
      <c r="AB70" s="6" t="s">
        <v>762</v>
      </c>
      <c r="AC70" s="6" t="s">
        <v>763</v>
      </c>
      <c r="AD70" s="6" t="s">
        <v>764</v>
      </c>
      <c r="AE70" s="6" t="s">
        <v>52</v>
      </c>
    </row>
    <row r="71" customFormat="false" ht="35.05" hidden="false" customHeight="false" outlineLevel="0" collapsed="false">
      <c r="A71" s="6" t="s">
        <v>765</v>
      </c>
      <c r="B71" s="6" t="s">
        <v>766</v>
      </c>
      <c r="C71" s="6" t="s">
        <v>767</v>
      </c>
      <c r="D71" s="6" t="s">
        <v>567</v>
      </c>
      <c r="E71" s="6" t="s">
        <v>740</v>
      </c>
      <c r="F71" s="6" t="s">
        <v>26</v>
      </c>
      <c r="G71" s="6" t="s">
        <v>236</v>
      </c>
      <c r="H71" s="6" t="s">
        <v>28</v>
      </c>
      <c r="I71" s="6" t="s">
        <v>45</v>
      </c>
      <c r="J71" s="6" t="s">
        <v>49</v>
      </c>
      <c r="K71" s="6" t="s">
        <v>114</v>
      </c>
      <c r="L71" s="6" t="s">
        <v>768</v>
      </c>
      <c r="M71" s="6" t="s">
        <v>49</v>
      </c>
      <c r="N71" s="6" t="s">
        <v>769</v>
      </c>
      <c r="O71" s="6" t="s">
        <v>770</v>
      </c>
      <c r="P71" s="6" t="s">
        <v>771</v>
      </c>
      <c r="Q71" s="6" t="s">
        <v>101</v>
      </c>
      <c r="R71" s="6" t="s">
        <v>230</v>
      </c>
      <c r="S71" s="6" t="s">
        <v>103</v>
      </c>
      <c r="T71" s="6" t="s">
        <v>737</v>
      </c>
      <c r="U71" s="6"/>
      <c r="V71" s="6" t="s">
        <v>210</v>
      </c>
      <c r="W71" s="6" t="n">
        <v>130</v>
      </c>
      <c r="X71" s="6" t="s">
        <v>37</v>
      </c>
      <c r="Y71" s="6" t="s">
        <v>106</v>
      </c>
      <c r="Z71" s="6" t="s">
        <v>41</v>
      </c>
      <c r="AA71" s="6" t="s">
        <v>325</v>
      </c>
      <c r="AB71" s="6" t="s">
        <v>772</v>
      </c>
      <c r="AC71" s="6" t="s">
        <v>737</v>
      </c>
      <c r="AD71" s="6" t="s">
        <v>773</v>
      </c>
      <c r="AE71" s="6" t="s">
        <v>52</v>
      </c>
    </row>
    <row r="72" customFormat="false" ht="35.05" hidden="false" customHeight="false" outlineLevel="0" collapsed="false">
      <c r="A72" s="6" t="s">
        <v>774</v>
      </c>
      <c r="B72" s="6" t="s">
        <v>775</v>
      </c>
      <c r="C72" s="6" t="s">
        <v>776</v>
      </c>
      <c r="D72" s="6" t="s">
        <v>777</v>
      </c>
      <c r="E72" s="6" t="s">
        <v>778</v>
      </c>
      <c r="F72" s="6" t="s">
        <v>23</v>
      </c>
      <c r="G72" s="6" t="s">
        <v>179</v>
      </c>
      <c r="H72" s="6" t="s">
        <v>28</v>
      </c>
      <c r="I72" s="6" t="s">
        <v>44</v>
      </c>
      <c r="J72" s="6" t="s">
        <v>49</v>
      </c>
      <c r="K72" s="6" t="s">
        <v>372</v>
      </c>
      <c r="L72" s="6" t="s">
        <v>779</v>
      </c>
      <c r="M72" s="6" t="s">
        <v>49</v>
      </c>
      <c r="N72" s="6" t="s">
        <v>780</v>
      </c>
      <c r="O72" s="6" t="s">
        <v>781</v>
      </c>
      <c r="P72" s="6" t="s">
        <v>782</v>
      </c>
      <c r="Q72" s="6" t="s">
        <v>101</v>
      </c>
      <c r="R72" s="6" t="s">
        <v>184</v>
      </c>
      <c r="S72" s="6" t="s">
        <v>103</v>
      </c>
      <c r="T72" s="6" t="s">
        <v>265</v>
      </c>
      <c r="U72" s="6" t="s">
        <v>783</v>
      </c>
      <c r="V72" s="6" t="s">
        <v>784</v>
      </c>
      <c r="W72" s="6" t="n">
        <v>46</v>
      </c>
      <c r="X72" s="6" t="s">
        <v>35</v>
      </c>
      <c r="Y72" s="6" t="s">
        <v>106</v>
      </c>
      <c r="Z72" s="6" t="s">
        <v>41</v>
      </c>
      <c r="AA72" s="6" t="s">
        <v>325</v>
      </c>
      <c r="AB72" s="6" t="s">
        <v>187</v>
      </c>
      <c r="AC72" s="6" t="s">
        <v>265</v>
      </c>
      <c r="AD72" s="6" t="s">
        <v>785</v>
      </c>
      <c r="AE72" s="6" t="s">
        <v>52</v>
      </c>
    </row>
    <row r="73" customFormat="false" ht="35.05" hidden="false" customHeight="false" outlineLevel="0" collapsed="false">
      <c r="A73" s="6" t="s">
        <v>786</v>
      </c>
      <c r="B73" s="6" t="s">
        <v>787</v>
      </c>
      <c r="C73" s="6" t="s">
        <v>788</v>
      </c>
      <c r="D73" s="6" t="s">
        <v>777</v>
      </c>
      <c r="E73" s="6" t="s">
        <v>778</v>
      </c>
      <c r="F73" s="6" t="s">
        <v>24</v>
      </c>
      <c r="G73" s="6" t="s">
        <v>260</v>
      </c>
      <c r="H73" s="6" t="s">
        <v>31</v>
      </c>
      <c r="I73" s="6" t="s">
        <v>44</v>
      </c>
      <c r="J73" s="6" t="s">
        <v>49</v>
      </c>
      <c r="K73" s="6" t="s">
        <v>96</v>
      </c>
      <c r="L73" s="6" t="s">
        <v>789</v>
      </c>
      <c r="M73" s="6" t="s">
        <v>49</v>
      </c>
      <c r="N73" s="6" t="s">
        <v>790</v>
      </c>
      <c r="O73" s="6" t="s">
        <v>791</v>
      </c>
      <c r="P73" s="6" t="s">
        <v>792</v>
      </c>
      <c r="Q73" s="6" t="s">
        <v>101</v>
      </c>
      <c r="R73" s="6" t="s">
        <v>230</v>
      </c>
      <c r="S73" s="6" t="s">
        <v>103</v>
      </c>
      <c r="T73" s="6" t="s">
        <v>774</v>
      </c>
      <c r="U73" s="6"/>
      <c r="V73" s="6" t="s">
        <v>575</v>
      </c>
      <c r="W73" s="6" t="n">
        <v>14</v>
      </c>
      <c r="X73" s="6" t="s">
        <v>33</v>
      </c>
      <c r="Y73" s="6" t="s">
        <v>793</v>
      </c>
      <c r="Z73" s="6" t="s">
        <v>41</v>
      </c>
      <c r="AA73" s="6" t="s">
        <v>107</v>
      </c>
      <c r="AB73" s="6" t="s">
        <v>794</v>
      </c>
      <c r="AC73" s="6"/>
      <c r="AD73" s="6" t="s">
        <v>795</v>
      </c>
      <c r="AE73" s="6" t="s">
        <v>52</v>
      </c>
    </row>
    <row r="74" customFormat="false" ht="35.05" hidden="false" customHeight="false" outlineLevel="0" collapsed="false">
      <c r="A74" s="6" t="s">
        <v>796</v>
      </c>
      <c r="B74" s="6" t="s">
        <v>797</v>
      </c>
      <c r="C74" s="6" t="s">
        <v>798</v>
      </c>
      <c r="D74" s="6" t="s">
        <v>777</v>
      </c>
      <c r="E74" s="6" t="s">
        <v>778</v>
      </c>
      <c r="F74" s="6" t="s">
        <v>24</v>
      </c>
      <c r="G74" s="6" t="s">
        <v>260</v>
      </c>
      <c r="H74" s="6" t="s">
        <v>31</v>
      </c>
      <c r="I74" s="6" t="s">
        <v>44</v>
      </c>
      <c r="J74" s="6" t="s">
        <v>49</v>
      </c>
      <c r="K74" s="6" t="s">
        <v>96</v>
      </c>
      <c r="L74" s="6" t="s">
        <v>799</v>
      </c>
      <c r="M74" s="6" t="s">
        <v>49</v>
      </c>
      <c r="N74" s="6" t="s">
        <v>800</v>
      </c>
      <c r="O74" s="6" t="s">
        <v>801</v>
      </c>
      <c r="P74" s="6" t="s">
        <v>802</v>
      </c>
      <c r="Q74" s="6" t="s">
        <v>101</v>
      </c>
      <c r="R74" s="6" t="s">
        <v>230</v>
      </c>
      <c r="S74" s="6" t="s">
        <v>103</v>
      </c>
      <c r="T74" s="6" t="s">
        <v>774</v>
      </c>
      <c r="U74" s="6" t="s">
        <v>803</v>
      </c>
      <c r="V74" s="6" t="s">
        <v>575</v>
      </c>
      <c r="W74" s="6" t="n">
        <v>35</v>
      </c>
      <c r="X74" s="6" t="s">
        <v>34</v>
      </c>
      <c r="Y74" s="6" t="s">
        <v>793</v>
      </c>
      <c r="Z74" s="6" t="s">
        <v>41</v>
      </c>
      <c r="AA74" s="6" t="s">
        <v>107</v>
      </c>
      <c r="AB74" s="6" t="s">
        <v>794</v>
      </c>
      <c r="AC74" s="6" t="s">
        <v>786</v>
      </c>
      <c r="AD74" s="6" t="s">
        <v>804</v>
      </c>
      <c r="AE74" s="6" t="s">
        <v>52</v>
      </c>
    </row>
    <row r="75" customFormat="false" ht="35.05" hidden="false" customHeight="false" outlineLevel="0" collapsed="false">
      <c r="A75" s="6" t="s">
        <v>805</v>
      </c>
      <c r="B75" s="6" t="s">
        <v>806</v>
      </c>
      <c r="C75" s="6" t="s">
        <v>807</v>
      </c>
      <c r="D75" s="6" t="s">
        <v>777</v>
      </c>
      <c r="E75" s="6" t="s">
        <v>778</v>
      </c>
      <c r="F75" s="6" t="s">
        <v>24</v>
      </c>
      <c r="G75" s="6" t="s">
        <v>260</v>
      </c>
      <c r="H75" s="6" t="s">
        <v>31</v>
      </c>
      <c r="I75" s="6" t="s">
        <v>44</v>
      </c>
      <c r="J75" s="6" t="s">
        <v>49</v>
      </c>
      <c r="K75" s="6" t="s">
        <v>96</v>
      </c>
      <c r="L75" s="6" t="s">
        <v>808</v>
      </c>
      <c r="M75" s="6" t="s">
        <v>49</v>
      </c>
      <c r="N75" s="6" t="s">
        <v>809</v>
      </c>
      <c r="O75" s="6" t="s">
        <v>810</v>
      </c>
      <c r="P75" s="6" t="s">
        <v>811</v>
      </c>
      <c r="Q75" s="6" t="s">
        <v>101</v>
      </c>
      <c r="R75" s="6" t="s">
        <v>230</v>
      </c>
      <c r="S75" s="6" t="s">
        <v>103</v>
      </c>
      <c r="T75" s="6" t="s">
        <v>774</v>
      </c>
      <c r="U75" s="6" t="s">
        <v>812</v>
      </c>
      <c r="V75" s="6" t="s">
        <v>575</v>
      </c>
      <c r="W75" s="6" t="n">
        <v>36</v>
      </c>
      <c r="X75" s="6" t="s">
        <v>34</v>
      </c>
      <c r="Y75" s="6" t="s">
        <v>793</v>
      </c>
      <c r="Z75" s="6" t="s">
        <v>41</v>
      </c>
      <c r="AA75" s="6" t="s">
        <v>107</v>
      </c>
      <c r="AB75" s="6" t="s">
        <v>794</v>
      </c>
      <c r="AC75" s="6" t="s">
        <v>786</v>
      </c>
      <c r="AD75" s="6" t="s">
        <v>813</v>
      </c>
      <c r="AE75" s="6" t="s">
        <v>52</v>
      </c>
    </row>
    <row r="76" customFormat="false" ht="35.05" hidden="false" customHeight="false" outlineLevel="0" collapsed="false">
      <c r="A76" s="6" t="s">
        <v>814</v>
      </c>
      <c r="B76" s="6" t="s">
        <v>815</v>
      </c>
      <c r="C76" s="6" t="s">
        <v>816</v>
      </c>
      <c r="D76" s="6" t="s">
        <v>777</v>
      </c>
      <c r="E76" s="6" t="s">
        <v>778</v>
      </c>
      <c r="F76" s="6" t="s">
        <v>25</v>
      </c>
      <c r="G76" s="6" t="s">
        <v>191</v>
      </c>
      <c r="H76" s="6" t="s">
        <v>28</v>
      </c>
      <c r="I76" s="6" t="s">
        <v>44</v>
      </c>
      <c r="J76" s="6" t="s">
        <v>49</v>
      </c>
      <c r="K76" s="6" t="s">
        <v>372</v>
      </c>
      <c r="L76" s="6" t="s">
        <v>817</v>
      </c>
      <c r="M76" s="6" t="s">
        <v>49</v>
      </c>
      <c r="N76" s="6" t="s">
        <v>818</v>
      </c>
      <c r="O76" s="6" t="s">
        <v>819</v>
      </c>
      <c r="P76" s="6" t="s">
        <v>820</v>
      </c>
      <c r="Q76" s="6" t="s">
        <v>573</v>
      </c>
      <c r="R76" s="6" t="s">
        <v>230</v>
      </c>
      <c r="S76" s="6" t="s">
        <v>103</v>
      </c>
      <c r="T76" s="6" t="s">
        <v>774</v>
      </c>
      <c r="U76" s="6" t="s">
        <v>821</v>
      </c>
      <c r="V76" s="6" t="s">
        <v>407</v>
      </c>
      <c r="W76" s="6" t="n">
        <v>86</v>
      </c>
      <c r="X76" s="6" t="s">
        <v>36</v>
      </c>
      <c r="Y76" s="6" t="s">
        <v>106</v>
      </c>
      <c r="Z76" s="6" t="s">
        <v>40</v>
      </c>
      <c r="AA76" s="6" t="s">
        <v>160</v>
      </c>
      <c r="AB76" s="6"/>
      <c r="AC76" s="6" t="s">
        <v>774</v>
      </c>
      <c r="AD76" s="6" t="s">
        <v>822</v>
      </c>
      <c r="AE76" s="6" t="s">
        <v>52</v>
      </c>
    </row>
    <row r="77" customFormat="false" ht="35.05" hidden="false" customHeight="false" outlineLevel="0" collapsed="false">
      <c r="A77" s="6" t="s">
        <v>823</v>
      </c>
      <c r="B77" s="6" t="s">
        <v>824</v>
      </c>
      <c r="C77" s="6" t="s">
        <v>825</v>
      </c>
      <c r="D77" s="6" t="s">
        <v>777</v>
      </c>
      <c r="E77" s="6" t="s">
        <v>778</v>
      </c>
      <c r="F77" s="6" t="s">
        <v>25</v>
      </c>
      <c r="G77" s="6" t="s">
        <v>191</v>
      </c>
      <c r="H77" s="6" t="s">
        <v>28</v>
      </c>
      <c r="I77" s="6" t="s">
        <v>44</v>
      </c>
      <c r="J77" s="6" t="s">
        <v>49</v>
      </c>
      <c r="K77" s="6" t="s">
        <v>96</v>
      </c>
      <c r="L77" s="6" t="s">
        <v>826</v>
      </c>
      <c r="M77" s="6" t="s">
        <v>49</v>
      </c>
      <c r="N77" s="6" t="s">
        <v>827</v>
      </c>
      <c r="O77" s="6" t="s">
        <v>828</v>
      </c>
      <c r="P77" s="6" t="s">
        <v>820</v>
      </c>
      <c r="Q77" s="6" t="s">
        <v>101</v>
      </c>
      <c r="R77" s="6" t="s">
        <v>230</v>
      </c>
      <c r="S77" s="6" t="s">
        <v>103</v>
      </c>
      <c r="T77" s="6" t="s">
        <v>774</v>
      </c>
      <c r="U77" s="6" t="s">
        <v>829</v>
      </c>
      <c r="V77" s="6" t="s">
        <v>305</v>
      </c>
      <c r="W77" s="6" t="n">
        <v>90</v>
      </c>
      <c r="X77" s="6" t="s">
        <v>36</v>
      </c>
      <c r="Y77" s="6" t="s">
        <v>106</v>
      </c>
      <c r="Z77" s="6" t="s">
        <v>40</v>
      </c>
      <c r="AA77" s="6" t="s">
        <v>160</v>
      </c>
      <c r="AB77" s="6"/>
      <c r="AC77" s="6" t="s">
        <v>774</v>
      </c>
      <c r="AD77" s="6" t="s">
        <v>830</v>
      </c>
      <c r="AE77" s="6" t="s">
        <v>52</v>
      </c>
    </row>
    <row r="78" customFormat="false" ht="35.05" hidden="false" customHeight="false" outlineLevel="0" collapsed="false">
      <c r="A78" s="6" t="s">
        <v>821</v>
      </c>
      <c r="B78" s="6" t="s">
        <v>831</v>
      </c>
      <c r="C78" s="6" t="s">
        <v>832</v>
      </c>
      <c r="D78" s="6" t="s">
        <v>777</v>
      </c>
      <c r="E78" s="6" t="s">
        <v>778</v>
      </c>
      <c r="F78" s="6" t="s">
        <v>26</v>
      </c>
      <c r="G78" s="6" t="s">
        <v>204</v>
      </c>
      <c r="H78" s="6" t="s">
        <v>28</v>
      </c>
      <c r="I78" s="6" t="s">
        <v>44</v>
      </c>
      <c r="J78" s="6" t="s">
        <v>49</v>
      </c>
      <c r="K78" s="6" t="s">
        <v>96</v>
      </c>
      <c r="L78" s="6" t="s">
        <v>826</v>
      </c>
      <c r="M78" s="6" t="s">
        <v>49</v>
      </c>
      <c r="N78" s="6" t="s">
        <v>818</v>
      </c>
      <c r="O78" s="6" t="s">
        <v>828</v>
      </c>
      <c r="P78" s="6" t="s">
        <v>820</v>
      </c>
      <c r="Q78" s="6" t="s">
        <v>573</v>
      </c>
      <c r="R78" s="6" t="s">
        <v>230</v>
      </c>
      <c r="S78" s="6" t="s">
        <v>103</v>
      </c>
      <c r="T78" s="6" t="s">
        <v>814</v>
      </c>
      <c r="U78" s="6"/>
      <c r="V78" s="6" t="s">
        <v>210</v>
      </c>
      <c r="W78" s="6" t="n">
        <v>87</v>
      </c>
      <c r="X78" s="6" t="s">
        <v>36</v>
      </c>
      <c r="Y78" s="6" t="s">
        <v>106</v>
      </c>
      <c r="Z78" s="6" t="s">
        <v>40</v>
      </c>
      <c r="AA78" s="6" t="s">
        <v>160</v>
      </c>
      <c r="AB78" s="6"/>
      <c r="AC78" s="6" t="s">
        <v>814</v>
      </c>
      <c r="AD78" s="6" t="s">
        <v>833</v>
      </c>
      <c r="AE78" s="6" t="s">
        <v>52</v>
      </c>
    </row>
    <row r="79" customFormat="false" ht="35.05" hidden="false" customHeight="false" outlineLevel="0" collapsed="false">
      <c r="A79" s="6" t="s">
        <v>834</v>
      </c>
      <c r="B79" s="6" t="s">
        <v>835</v>
      </c>
      <c r="C79" s="6" t="s">
        <v>836</v>
      </c>
      <c r="D79" s="6" t="s">
        <v>777</v>
      </c>
      <c r="E79" s="6" t="s">
        <v>778</v>
      </c>
      <c r="F79" s="6" t="s">
        <v>26</v>
      </c>
      <c r="G79" s="6" t="s">
        <v>204</v>
      </c>
      <c r="H79" s="6" t="s">
        <v>31</v>
      </c>
      <c r="I79" s="6" t="s">
        <v>45</v>
      </c>
      <c r="J79" s="6" t="s">
        <v>49</v>
      </c>
      <c r="K79" s="6" t="s">
        <v>96</v>
      </c>
      <c r="L79" s="6" t="s">
        <v>837</v>
      </c>
      <c r="M79" s="6" t="s">
        <v>49</v>
      </c>
      <c r="N79" s="6" t="s">
        <v>827</v>
      </c>
      <c r="O79" s="6" t="s">
        <v>838</v>
      </c>
      <c r="P79" s="6" t="s">
        <v>802</v>
      </c>
      <c r="Q79" s="6" t="s">
        <v>101</v>
      </c>
      <c r="R79" s="6" t="s">
        <v>230</v>
      </c>
      <c r="S79" s="6" t="s">
        <v>103</v>
      </c>
      <c r="T79" s="6" t="s">
        <v>796</v>
      </c>
      <c r="U79" s="6"/>
      <c r="V79" s="6" t="s">
        <v>210</v>
      </c>
      <c r="W79" s="6" t="n">
        <v>88</v>
      </c>
      <c r="X79" s="6" t="s">
        <v>36</v>
      </c>
      <c r="Y79" s="6" t="s">
        <v>106</v>
      </c>
      <c r="Z79" s="6" t="s">
        <v>40</v>
      </c>
      <c r="AA79" s="6" t="s">
        <v>160</v>
      </c>
      <c r="AB79" s="6"/>
      <c r="AC79" s="6" t="s">
        <v>796</v>
      </c>
      <c r="AD79" s="6" t="s">
        <v>839</v>
      </c>
      <c r="AE79" s="6" t="s">
        <v>52</v>
      </c>
    </row>
    <row r="80" customFormat="false" ht="35.05" hidden="false" customHeight="false" outlineLevel="0" collapsed="false">
      <c r="A80" s="6" t="s">
        <v>812</v>
      </c>
      <c r="B80" s="6" t="s">
        <v>840</v>
      </c>
      <c r="C80" s="6" t="s">
        <v>841</v>
      </c>
      <c r="D80" s="6" t="s">
        <v>777</v>
      </c>
      <c r="E80" s="6" t="s">
        <v>778</v>
      </c>
      <c r="F80" s="6" t="s">
        <v>26</v>
      </c>
      <c r="G80" s="6" t="s">
        <v>204</v>
      </c>
      <c r="H80" s="6" t="s">
        <v>28</v>
      </c>
      <c r="I80" s="6" t="s">
        <v>45</v>
      </c>
      <c r="J80" s="6" t="s">
        <v>49</v>
      </c>
      <c r="K80" s="6" t="s">
        <v>96</v>
      </c>
      <c r="L80" s="6" t="s">
        <v>842</v>
      </c>
      <c r="M80" s="6" t="s">
        <v>49</v>
      </c>
      <c r="N80" s="6" t="s">
        <v>843</v>
      </c>
      <c r="O80" s="6" t="s">
        <v>844</v>
      </c>
      <c r="P80" s="6" t="s">
        <v>845</v>
      </c>
      <c r="Q80" s="6" t="s">
        <v>101</v>
      </c>
      <c r="R80" s="6" t="s">
        <v>230</v>
      </c>
      <c r="S80" s="6" t="s">
        <v>103</v>
      </c>
      <c r="T80" s="6" t="s">
        <v>805</v>
      </c>
      <c r="U80" s="6"/>
      <c r="V80" s="6" t="s">
        <v>846</v>
      </c>
      <c r="W80" s="6" t="n">
        <v>89</v>
      </c>
      <c r="X80" s="6" t="s">
        <v>36</v>
      </c>
      <c r="Y80" s="6" t="s">
        <v>106</v>
      </c>
      <c r="Z80" s="6" t="s">
        <v>40</v>
      </c>
      <c r="AA80" s="6" t="s">
        <v>160</v>
      </c>
      <c r="AB80" s="6"/>
      <c r="AC80" s="6" t="s">
        <v>805</v>
      </c>
      <c r="AD80" s="6" t="s">
        <v>847</v>
      </c>
      <c r="AE80" s="6" t="s">
        <v>52</v>
      </c>
    </row>
    <row r="81" customFormat="false" ht="35.05" hidden="false" customHeight="false" outlineLevel="0" collapsed="false">
      <c r="A81" s="6" t="s">
        <v>829</v>
      </c>
      <c r="B81" s="6" t="s">
        <v>848</v>
      </c>
      <c r="C81" s="6" t="s">
        <v>849</v>
      </c>
      <c r="D81" s="6" t="s">
        <v>777</v>
      </c>
      <c r="E81" s="6" t="s">
        <v>778</v>
      </c>
      <c r="F81" s="6" t="s">
        <v>26</v>
      </c>
      <c r="G81" s="6" t="s">
        <v>448</v>
      </c>
      <c r="H81" s="6" t="s">
        <v>28</v>
      </c>
      <c r="I81" s="6" t="s">
        <v>45</v>
      </c>
      <c r="J81" s="6" t="s">
        <v>49</v>
      </c>
      <c r="K81" s="6" t="s">
        <v>96</v>
      </c>
      <c r="L81" s="6" t="s">
        <v>826</v>
      </c>
      <c r="M81" s="6" t="s">
        <v>49</v>
      </c>
      <c r="N81" s="6" t="s">
        <v>827</v>
      </c>
      <c r="O81" s="6" t="s">
        <v>828</v>
      </c>
      <c r="P81" s="6" t="s">
        <v>820</v>
      </c>
      <c r="Q81" s="6" t="s">
        <v>850</v>
      </c>
      <c r="R81" s="6" t="s">
        <v>101</v>
      </c>
      <c r="S81" s="6" t="s">
        <v>851</v>
      </c>
      <c r="T81" s="6" t="s">
        <v>823</v>
      </c>
      <c r="U81" s="6"/>
      <c r="V81" s="6" t="s">
        <v>210</v>
      </c>
      <c r="W81" s="6" t="n">
        <v>120</v>
      </c>
      <c r="X81" s="6" t="s">
        <v>37</v>
      </c>
      <c r="Y81" s="6" t="s">
        <v>106</v>
      </c>
      <c r="Z81" s="6" t="s">
        <v>40</v>
      </c>
      <c r="AA81" s="6" t="s">
        <v>160</v>
      </c>
      <c r="AB81" s="6" t="s">
        <v>794</v>
      </c>
      <c r="AC81" s="6" t="s">
        <v>823</v>
      </c>
      <c r="AD81" s="6" t="s">
        <v>852</v>
      </c>
      <c r="AE81" s="6" t="s">
        <v>52</v>
      </c>
    </row>
    <row r="82" customFormat="false" ht="35.05" hidden="false" customHeight="false" outlineLevel="0" collapsed="false">
      <c r="A82" s="6" t="s">
        <v>853</v>
      </c>
      <c r="B82" s="6" t="s">
        <v>854</v>
      </c>
      <c r="C82" s="6" t="s">
        <v>855</v>
      </c>
      <c r="D82" s="6" t="s">
        <v>777</v>
      </c>
      <c r="E82" s="6" t="s">
        <v>778</v>
      </c>
      <c r="F82" s="6" t="s">
        <v>26</v>
      </c>
      <c r="G82" s="6" t="s">
        <v>141</v>
      </c>
      <c r="H82" s="6" t="s">
        <v>31</v>
      </c>
      <c r="I82" s="6" t="s">
        <v>44</v>
      </c>
      <c r="J82" s="6" t="s">
        <v>49</v>
      </c>
      <c r="K82" s="6" t="s">
        <v>96</v>
      </c>
      <c r="L82" s="6" t="s">
        <v>837</v>
      </c>
      <c r="M82" s="6" t="s">
        <v>49</v>
      </c>
      <c r="N82" s="6" t="s">
        <v>800</v>
      </c>
      <c r="O82" s="6" t="s">
        <v>838</v>
      </c>
      <c r="P82" s="6" t="s">
        <v>856</v>
      </c>
      <c r="Q82" s="6" t="s">
        <v>101</v>
      </c>
      <c r="R82" s="6" t="s">
        <v>230</v>
      </c>
      <c r="S82" s="6" t="s">
        <v>347</v>
      </c>
      <c r="T82" s="6" t="s">
        <v>796</v>
      </c>
      <c r="U82" s="6"/>
      <c r="V82" s="6" t="s">
        <v>594</v>
      </c>
      <c r="W82" s="6" t="n">
        <v>15</v>
      </c>
      <c r="X82" s="6" t="s">
        <v>33</v>
      </c>
      <c r="Y82" s="6" t="s">
        <v>793</v>
      </c>
      <c r="Z82" s="6" t="s">
        <v>40</v>
      </c>
      <c r="AA82" s="6" t="s">
        <v>160</v>
      </c>
      <c r="AB82" s="6" t="s">
        <v>794</v>
      </c>
      <c r="AC82" s="6"/>
      <c r="AD82" s="6" t="s">
        <v>857</v>
      </c>
      <c r="AE82" s="6" t="s">
        <v>52</v>
      </c>
    </row>
    <row r="83" customFormat="false" ht="35.05" hidden="false" customHeight="false" outlineLevel="0" collapsed="false">
      <c r="A83" s="6" t="s">
        <v>858</v>
      </c>
      <c r="B83" s="6" t="s">
        <v>859</v>
      </c>
      <c r="C83" s="6" t="s">
        <v>860</v>
      </c>
      <c r="D83" s="6" t="s">
        <v>777</v>
      </c>
      <c r="E83" s="6" t="s">
        <v>778</v>
      </c>
      <c r="F83" s="6" t="s">
        <v>23</v>
      </c>
      <c r="G83" s="6" t="s">
        <v>179</v>
      </c>
      <c r="H83" s="6" t="s">
        <v>30</v>
      </c>
      <c r="I83" s="6" t="s">
        <v>45</v>
      </c>
      <c r="J83" s="6" t="s">
        <v>49</v>
      </c>
      <c r="K83" s="6" t="s">
        <v>96</v>
      </c>
      <c r="L83" s="6" t="s">
        <v>861</v>
      </c>
      <c r="M83" s="6" t="s">
        <v>49</v>
      </c>
      <c r="N83" s="6" t="s">
        <v>862</v>
      </c>
      <c r="O83" s="6" t="s">
        <v>863</v>
      </c>
      <c r="P83" s="6" t="s">
        <v>864</v>
      </c>
      <c r="Q83" s="6" t="s">
        <v>626</v>
      </c>
      <c r="R83" s="6" t="s">
        <v>184</v>
      </c>
      <c r="S83" s="6" t="s">
        <v>103</v>
      </c>
      <c r="T83" s="6" t="s">
        <v>265</v>
      </c>
      <c r="U83" s="6" t="s">
        <v>865</v>
      </c>
      <c r="V83" s="6" t="s">
        <v>30</v>
      </c>
      <c r="W83" s="6" t="n">
        <v>50</v>
      </c>
      <c r="X83" s="6" t="s">
        <v>35</v>
      </c>
      <c r="Y83" s="6" t="s">
        <v>106</v>
      </c>
      <c r="Z83" s="6" t="s">
        <v>40</v>
      </c>
      <c r="AA83" s="6" t="s">
        <v>160</v>
      </c>
      <c r="AB83" s="6" t="s">
        <v>187</v>
      </c>
      <c r="AC83" s="6" t="s">
        <v>265</v>
      </c>
      <c r="AD83" s="6" t="s">
        <v>866</v>
      </c>
      <c r="AE83" s="6" t="s">
        <v>52</v>
      </c>
    </row>
    <row r="84" customFormat="false" ht="35.05" hidden="false" customHeight="false" outlineLevel="0" collapsed="false">
      <c r="A84" s="6" t="s">
        <v>865</v>
      </c>
      <c r="B84" s="6" t="s">
        <v>867</v>
      </c>
      <c r="C84" s="6" t="s">
        <v>868</v>
      </c>
      <c r="D84" s="6" t="s">
        <v>777</v>
      </c>
      <c r="E84" s="6" t="s">
        <v>778</v>
      </c>
      <c r="F84" s="6" t="s">
        <v>25</v>
      </c>
      <c r="G84" s="6" t="s">
        <v>191</v>
      </c>
      <c r="H84" s="6" t="s">
        <v>30</v>
      </c>
      <c r="I84" s="6" t="s">
        <v>45</v>
      </c>
      <c r="J84" s="6" t="s">
        <v>49</v>
      </c>
      <c r="K84" s="6" t="s">
        <v>96</v>
      </c>
      <c r="L84" s="6" t="s">
        <v>869</v>
      </c>
      <c r="M84" s="6" t="s">
        <v>49</v>
      </c>
      <c r="N84" s="6" t="s">
        <v>870</v>
      </c>
      <c r="O84" s="6" t="s">
        <v>871</v>
      </c>
      <c r="P84" s="6" t="s">
        <v>872</v>
      </c>
      <c r="Q84" s="6" t="s">
        <v>626</v>
      </c>
      <c r="R84" s="6" t="s">
        <v>230</v>
      </c>
      <c r="S84" s="6" t="s">
        <v>103</v>
      </c>
      <c r="T84" s="6" t="s">
        <v>858</v>
      </c>
      <c r="U84" s="6" t="s">
        <v>873</v>
      </c>
      <c r="V84" s="6" t="s">
        <v>30</v>
      </c>
      <c r="W84" s="6" t="n">
        <v>91</v>
      </c>
      <c r="X84" s="6" t="s">
        <v>36</v>
      </c>
      <c r="Y84" s="6" t="s">
        <v>106</v>
      </c>
      <c r="Z84" s="6" t="s">
        <v>40</v>
      </c>
      <c r="AA84" s="6" t="s">
        <v>160</v>
      </c>
      <c r="AB84" s="6"/>
      <c r="AC84" s="6" t="s">
        <v>858</v>
      </c>
      <c r="AD84" s="6" t="s">
        <v>874</v>
      </c>
      <c r="AE84" s="6" t="s">
        <v>52</v>
      </c>
    </row>
    <row r="85" customFormat="false" ht="35.05" hidden="false" customHeight="false" outlineLevel="0" collapsed="false">
      <c r="A85" s="6" t="s">
        <v>873</v>
      </c>
      <c r="B85" s="6" t="s">
        <v>875</v>
      </c>
      <c r="C85" s="6" t="s">
        <v>876</v>
      </c>
      <c r="D85" s="6" t="s">
        <v>777</v>
      </c>
      <c r="E85" s="6" t="s">
        <v>778</v>
      </c>
      <c r="F85" s="6" t="s">
        <v>26</v>
      </c>
      <c r="G85" s="6" t="s">
        <v>204</v>
      </c>
      <c r="H85" s="6" t="s">
        <v>30</v>
      </c>
      <c r="I85" s="6" t="s">
        <v>45</v>
      </c>
      <c r="J85" s="6" t="s">
        <v>49</v>
      </c>
      <c r="K85" s="6" t="s">
        <v>96</v>
      </c>
      <c r="L85" s="6" t="s">
        <v>877</v>
      </c>
      <c r="M85" s="6" t="s">
        <v>49</v>
      </c>
      <c r="N85" s="6" t="s">
        <v>878</v>
      </c>
      <c r="O85" s="6" t="s">
        <v>879</v>
      </c>
      <c r="P85" s="6" t="s">
        <v>880</v>
      </c>
      <c r="Q85" s="6" t="s">
        <v>626</v>
      </c>
      <c r="R85" s="6" t="s">
        <v>626</v>
      </c>
      <c r="S85" s="6" t="s">
        <v>103</v>
      </c>
      <c r="T85" s="6" t="s">
        <v>865</v>
      </c>
      <c r="U85" s="6"/>
      <c r="V85" s="6" t="s">
        <v>881</v>
      </c>
      <c r="W85" s="6" t="n">
        <v>92</v>
      </c>
      <c r="X85" s="6" t="s">
        <v>36</v>
      </c>
      <c r="Y85" s="6" t="s">
        <v>106</v>
      </c>
      <c r="Z85" s="6" t="s">
        <v>40</v>
      </c>
      <c r="AA85" s="6" t="s">
        <v>160</v>
      </c>
      <c r="AB85" s="6"/>
      <c r="AC85" s="6" t="s">
        <v>865</v>
      </c>
      <c r="AD85" s="6" t="s">
        <v>882</v>
      </c>
      <c r="AE85" s="6" t="s">
        <v>52</v>
      </c>
    </row>
    <row r="86" customFormat="false" ht="35.05" hidden="false" customHeight="false" outlineLevel="0" collapsed="false">
      <c r="A86" s="6" t="s">
        <v>883</v>
      </c>
      <c r="B86" s="6" t="s">
        <v>884</v>
      </c>
      <c r="C86" s="6" t="s">
        <v>885</v>
      </c>
      <c r="D86" s="6" t="s">
        <v>777</v>
      </c>
      <c r="E86" s="6" t="s">
        <v>886</v>
      </c>
      <c r="F86" s="6" t="s">
        <v>25</v>
      </c>
      <c r="G86" s="6" t="s">
        <v>248</v>
      </c>
      <c r="H86" s="6" t="s">
        <v>29</v>
      </c>
      <c r="I86" s="6" t="s">
        <v>44</v>
      </c>
      <c r="J86" s="6" t="s">
        <v>49</v>
      </c>
      <c r="K86" s="6" t="s">
        <v>372</v>
      </c>
      <c r="L86" s="6" t="s">
        <v>887</v>
      </c>
      <c r="M86" s="6" t="s">
        <v>49</v>
      </c>
      <c r="N86" s="6" t="s">
        <v>888</v>
      </c>
      <c r="O86" s="6" t="s">
        <v>889</v>
      </c>
      <c r="P86" s="6" t="s">
        <v>890</v>
      </c>
      <c r="Q86" s="6" t="s">
        <v>101</v>
      </c>
      <c r="R86" s="6" t="s">
        <v>132</v>
      </c>
      <c r="S86" s="6" t="s">
        <v>103</v>
      </c>
      <c r="T86" s="6" t="s">
        <v>265</v>
      </c>
      <c r="U86" s="6" t="s">
        <v>891</v>
      </c>
      <c r="V86" s="6" t="s">
        <v>892</v>
      </c>
      <c r="W86" s="6" t="n">
        <v>54</v>
      </c>
      <c r="X86" s="6" t="s">
        <v>35</v>
      </c>
      <c r="Y86" s="6" t="s">
        <v>106</v>
      </c>
      <c r="Z86" s="6" t="s">
        <v>40</v>
      </c>
      <c r="AA86" s="6" t="s">
        <v>316</v>
      </c>
      <c r="AB86" s="6" t="s">
        <v>893</v>
      </c>
      <c r="AC86" s="6" t="s">
        <v>308</v>
      </c>
      <c r="AD86" s="6" t="s">
        <v>894</v>
      </c>
      <c r="AE86" s="6" t="s">
        <v>52</v>
      </c>
    </row>
    <row r="87" customFormat="false" ht="35.05" hidden="false" customHeight="false" outlineLevel="0" collapsed="false">
      <c r="A87" s="6" t="s">
        <v>895</v>
      </c>
      <c r="B87" s="6" t="s">
        <v>896</v>
      </c>
      <c r="C87" s="6" t="s">
        <v>897</v>
      </c>
      <c r="D87" s="6" t="s">
        <v>777</v>
      </c>
      <c r="E87" s="6" t="s">
        <v>886</v>
      </c>
      <c r="F87" s="6" t="s">
        <v>26</v>
      </c>
      <c r="G87" s="6" t="s">
        <v>141</v>
      </c>
      <c r="H87" s="6" t="s">
        <v>29</v>
      </c>
      <c r="I87" s="6" t="s">
        <v>45</v>
      </c>
      <c r="J87" s="6" t="s">
        <v>48</v>
      </c>
      <c r="K87" s="6" t="s">
        <v>114</v>
      </c>
      <c r="L87" s="6" t="s">
        <v>898</v>
      </c>
      <c r="M87" s="6" t="s">
        <v>49</v>
      </c>
      <c r="N87" s="6" t="s">
        <v>899</v>
      </c>
      <c r="O87" s="6" t="s">
        <v>900</v>
      </c>
      <c r="P87" s="6" t="s">
        <v>901</v>
      </c>
      <c r="Q87" s="6" t="s">
        <v>101</v>
      </c>
      <c r="R87" s="6" t="s">
        <v>241</v>
      </c>
      <c r="S87" s="6" t="s">
        <v>103</v>
      </c>
      <c r="T87" s="6" t="s">
        <v>883</v>
      </c>
      <c r="U87" s="6"/>
      <c r="V87" s="6" t="s">
        <v>242</v>
      </c>
      <c r="W87" s="6" t="n">
        <v>93</v>
      </c>
      <c r="X87" s="6" t="s">
        <v>36</v>
      </c>
      <c r="Y87" s="6" t="s">
        <v>106</v>
      </c>
      <c r="Z87" s="6" t="s">
        <v>40</v>
      </c>
      <c r="AA87" s="6" t="s">
        <v>316</v>
      </c>
      <c r="AB87" s="6" t="s">
        <v>893</v>
      </c>
      <c r="AC87" s="6" t="s">
        <v>883</v>
      </c>
      <c r="AD87" s="6" t="s">
        <v>902</v>
      </c>
      <c r="AE87" s="6" t="s">
        <v>52</v>
      </c>
    </row>
    <row r="88" customFormat="false" ht="35.05" hidden="false" customHeight="false" outlineLevel="0" collapsed="false">
      <c r="A88" s="6" t="s">
        <v>903</v>
      </c>
      <c r="B88" s="6" t="s">
        <v>904</v>
      </c>
      <c r="C88" s="6" t="s">
        <v>905</v>
      </c>
      <c r="D88" s="6" t="s">
        <v>777</v>
      </c>
      <c r="E88" s="6" t="s">
        <v>886</v>
      </c>
      <c r="F88" s="6" t="s">
        <v>26</v>
      </c>
      <c r="G88" s="6" t="s">
        <v>448</v>
      </c>
      <c r="H88" s="6" t="s">
        <v>29</v>
      </c>
      <c r="I88" s="6" t="s">
        <v>45</v>
      </c>
      <c r="J88" s="6" t="s">
        <v>48</v>
      </c>
      <c r="K88" s="6" t="s">
        <v>114</v>
      </c>
      <c r="L88" s="6" t="s">
        <v>898</v>
      </c>
      <c r="M88" s="6" t="s">
        <v>49</v>
      </c>
      <c r="N88" s="6" t="s">
        <v>888</v>
      </c>
      <c r="O88" s="6" t="s">
        <v>906</v>
      </c>
      <c r="P88" s="6" t="s">
        <v>907</v>
      </c>
      <c r="Q88" s="6" t="s">
        <v>241</v>
      </c>
      <c r="R88" s="6" t="s">
        <v>101</v>
      </c>
      <c r="S88" s="6" t="s">
        <v>908</v>
      </c>
      <c r="T88" s="6" t="s">
        <v>883</v>
      </c>
      <c r="U88" s="6"/>
      <c r="V88" s="6" t="s">
        <v>242</v>
      </c>
      <c r="W88" s="6" t="n">
        <v>121</v>
      </c>
      <c r="X88" s="6" t="s">
        <v>37</v>
      </c>
      <c r="Y88" s="6" t="s">
        <v>106</v>
      </c>
      <c r="Z88" s="6" t="s">
        <v>40</v>
      </c>
      <c r="AA88" s="6" t="s">
        <v>243</v>
      </c>
      <c r="AB88" s="6" t="s">
        <v>893</v>
      </c>
      <c r="AC88" s="6" t="s">
        <v>883</v>
      </c>
      <c r="AD88" s="6" t="s">
        <v>909</v>
      </c>
      <c r="AE88" s="6" t="s">
        <v>52</v>
      </c>
    </row>
    <row r="89" customFormat="false" ht="35.05" hidden="false" customHeight="false" outlineLevel="0" collapsed="false">
      <c r="A89" s="6" t="s">
        <v>910</v>
      </c>
      <c r="B89" s="6" t="s">
        <v>911</v>
      </c>
      <c r="C89" s="6" t="s">
        <v>912</v>
      </c>
      <c r="D89" s="6" t="s">
        <v>777</v>
      </c>
      <c r="E89" s="6" t="s">
        <v>886</v>
      </c>
      <c r="F89" s="6" t="s">
        <v>25</v>
      </c>
      <c r="G89" s="6" t="s">
        <v>191</v>
      </c>
      <c r="H89" s="6" t="s">
        <v>29</v>
      </c>
      <c r="I89" s="6" t="s">
        <v>46</v>
      </c>
      <c r="J89" s="6" t="s">
        <v>50</v>
      </c>
      <c r="K89" s="6" t="s">
        <v>96</v>
      </c>
      <c r="L89" s="6" t="s">
        <v>913</v>
      </c>
      <c r="M89" s="6" t="s">
        <v>50</v>
      </c>
      <c r="N89" s="6" t="s">
        <v>914</v>
      </c>
      <c r="O89" s="6" t="s">
        <v>915</v>
      </c>
      <c r="P89" s="6" t="s">
        <v>916</v>
      </c>
      <c r="Q89" s="6" t="s">
        <v>101</v>
      </c>
      <c r="R89" s="6" t="s">
        <v>230</v>
      </c>
      <c r="S89" s="6" t="s">
        <v>103</v>
      </c>
      <c r="T89" s="6" t="s">
        <v>883</v>
      </c>
      <c r="U89" s="6"/>
      <c r="V89" s="6" t="s">
        <v>29</v>
      </c>
      <c r="W89" s="6" t="n">
        <v>136</v>
      </c>
      <c r="X89" s="6" t="s">
        <v>38</v>
      </c>
      <c r="Y89" s="6" t="s">
        <v>106</v>
      </c>
      <c r="Z89" s="6" t="s">
        <v>40</v>
      </c>
      <c r="AA89" s="6" t="s">
        <v>917</v>
      </c>
      <c r="AB89" s="6" t="s">
        <v>893</v>
      </c>
      <c r="AC89" s="6" t="s">
        <v>883</v>
      </c>
      <c r="AD89" s="6" t="s">
        <v>918</v>
      </c>
      <c r="AE89" s="6" t="s">
        <v>52</v>
      </c>
    </row>
    <row r="90" customFormat="false" ht="35.05" hidden="false" customHeight="false" outlineLevel="0" collapsed="false">
      <c r="A90" s="6" t="s">
        <v>919</v>
      </c>
      <c r="B90" s="6" t="s">
        <v>920</v>
      </c>
      <c r="C90" s="6" t="s">
        <v>921</v>
      </c>
      <c r="D90" s="6" t="s">
        <v>777</v>
      </c>
      <c r="E90" s="6" t="s">
        <v>922</v>
      </c>
      <c r="F90" s="6" t="s">
        <v>23</v>
      </c>
      <c r="G90" s="6" t="s">
        <v>179</v>
      </c>
      <c r="H90" s="6" t="s">
        <v>28</v>
      </c>
      <c r="I90" s="6" t="s">
        <v>44</v>
      </c>
      <c r="J90" s="6" t="s">
        <v>49</v>
      </c>
      <c r="K90" s="6" t="s">
        <v>372</v>
      </c>
      <c r="L90" s="6" t="s">
        <v>923</v>
      </c>
      <c r="M90" s="6" t="s">
        <v>49</v>
      </c>
      <c r="N90" s="6" t="s">
        <v>924</v>
      </c>
      <c r="O90" s="6" t="s">
        <v>925</v>
      </c>
      <c r="P90" s="6" t="s">
        <v>926</v>
      </c>
      <c r="Q90" s="6" t="s">
        <v>101</v>
      </c>
      <c r="R90" s="6" t="s">
        <v>184</v>
      </c>
      <c r="S90" s="6" t="s">
        <v>103</v>
      </c>
      <c r="T90" s="6" t="s">
        <v>265</v>
      </c>
      <c r="U90" s="6" t="s">
        <v>927</v>
      </c>
      <c r="V90" s="6" t="s">
        <v>378</v>
      </c>
      <c r="W90" s="6" t="n">
        <v>47</v>
      </c>
      <c r="X90" s="6" t="s">
        <v>35</v>
      </c>
      <c r="Y90" s="6" t="s">
        <v>106</v>
      </c>
      <c r="Z90" s="6" t="s">
        <v>41</v>
      </c>
      <c r="AA90" s="6" t="s">
        <v>928</v>
      </c>
      <c r="AB90" s="6" t="s">
        <v>187</v>
      </c>
      <c r="AC90" s="6" t="s">
        <v>929</v>
      </c>
      <c r="AD90" s="6" t="s">
        <v>930</v>
      </c>
      <c r="AE90" s="6" t="s">
        <v>52</v>
      </c>
    </row>
    <row r="91" customFormat="false" ht="35.05" hidden="false" customHeight="false" outlineLevel="0" collapsed="false">
      <c r="A91" s="6" t="s">
        <v>931</v>
      </c>
      <c r="B91" s="6" t="s">
        <v>932</v>
      </c>
      <c r="C91" s="6" t="s">
        <v>933</v>
      </c>
      <c r="D91" s="6" t="s">
        <v>777</v>
      </c>
      <c r="E91" s="6" t="s">
        <v>922</v>
      </c>
      <c r="F91" s="6" t="s">
        <v>24</v>
      </c>
      <c r="G91" s="6" t="s">
        <v>260</v>
      </c>
      <c r="H91" s="6" t="s">
        <v>28</v>
      </c>
      <c r="I91" s="6" t="s">
        <v>44</v>
      </c>
      <c r="J91" s="6" t="s">
        <v>49</v>
      </c>
      <c r="K91" s="6" t="s">
        <v>96</v>
      </c>
      <c r="L91" s="6" t="s">
        <v>934</v>
      </c>
      <c r="M91" s="6" t="s">
        <v>49</v>
      </c>
      <c r="N91" s="6" t="s">
        <v>924</v>
      </c>
      <c r="O91" s="6" t="s">
        <v>925</v>
      </c>
      <c r="P91" s="6" t="s">
        <v>935</v>
      </c>
      <c r="Q91" s="6" t="s">
        <v>101</v>
      </c>
      <c r="R91" s="6" t="s">
        <v>230</v>
      </c>
      <c r="S91" s="6" t="s">
        <v>103</v>
      </c>
      <c r="T91" s="6" t="s">
        <v>919</v>
      </c>
      <c r="U91" s="6"/>
      <c r="V91" s="6" t="s">
        <v>305</v>
      </c>
      <c r="W91" s="6" t="n">
        <v>70</v>
      </c>
      <c r="X91" s="6" t="s">
        <v>36</v>
      </c>
      <c r="Y91" s="6" t="s">
        <v>106</v>
      </c>
      <c r="Z91" s="6" t="s">
        <v>41</v>
      </c>
      <c r="AA91" s="6" t="s">
        <v>928</v>
      </c>
      <c r="AB91" s="6" t="s">
        <v>267</v>
      </c>
      <c r="AC91" s="6" t="s">
        <v>919</v>
      </c>
      <c r="AD91" s="6" t="s">
        <v>936</v>
      </c>
      <c r="AE91" s="6" t="s">
        <v>52</v>
      </c>
    </row>
    <row r="92" customFormat="false" ht="35.05" hidden="false" customHeight="false" outlineLevel="0" collapsed="false">
      <c r="A92" s="6" t="s">
        <v>937</v>
      </c>
      <c r="B92" s="6" t="s">
        <v>938</v>
      </c>
      <c r="C92" s="6" t="s">
        <v>939</v>
      </c>
      <c r="D92" s="6" t="s">
        <v>777</v>
      </c>
      <c r="E92" s="6" t="s">
        <v>922</v>
      </c>
      <c r="F92" s="6" t="s">
        <v>24</v>
      </c>
      <c r="G92" s="6" t="s">
        <v>260</v>
      </c>
      <c r="H92" s="6" t="s">
        <v>31</v>
      </c>
      <c r="I92" s="6" t="s">
        <v>45</v>
      </c>
      <c r="J92" s="6" t="s">
        <v>49</v>
      </c>
      <c r="K92" s="6" t="s">
        <v>96</v>
      </c>
      <c r="L92" s="6" t="s">
        <v>940</v>
      </c>
      <c r="M92" s="6" t="s">
        <v>49</v>
      </c>
      <c r="N92" s="6" t="s">
        <v>941</v>
      </c>
      <c r="O92" s="6" t="s">
        <v>942</v>
      </c>
      <c r="P92" s="6" t="s">
        <v>943</v>
      </c>
      <c r="Q92" s="6" t="s">
        <v>101</v>
      </c>
      <c r="R92" s="6" t="s">
        <v>230</v>
      </c>
      <c r="S92" s="6" t="s">
        <v>103</v>
      </c>
      <c r="T92" s="6" t="s">
        <v>919</v>
      </c>
      <c r="U92" s="6"/>
      <c r="V92" s="6" t="s">
        <v>575</v>
      </c>
      <c r="W92" s="6" t="n">
        <v>71</v>
      </c>
      <c r="X92" s="6" t="s">
        <v>36</v>
      </c>
      <c r="Y92" s="6" t="s">
        <v>106</v>
      </c>
      <c r="Z92" s="6" t="s">
        <v>42</v>
      </c>
      <c r="AA92" s="6" t="s">
        <v>325</v>
      </c>
      <c r="AB92" s="6" t="s">
        <v>267</v>
      </c>
      <c r="AC92" s="6" t="s">
        <v>919</v>
      </c>
      <c r="AD92" s="6" t="s">
        <v>944</v>
      </c>
      <c r="AE92" s="6" t="s">
        <v>52</v>
      </c>
    </row>
    <row r="93" customFormat="false" ht="23.85" hidden="false" customHeight="false" outlineLevel="0" collapsed="false">
      <c r="A93" s="6" t="s">
        <v>945</v>
      </c>
      <c r="B93" s="6" t="s">
        <v>946</v>
      </c>
      <c r="C93" s="6" t="s">
        <v>947</v>
      </c>
      <c r="D93" s="6" t="s">
        <v>777</v>
      </c>
      <c r="E93" s="6" t="s">
        <v>922</v>
      </c>
      <c r="F93" s="6" t="s">
        <v>24</v>
      </c>
      <c r="G93" s="6" t="s">
        <v>260</v>
      </c>
      <c r="H93" s="6" t="s">
        <v>31</v>
      </c>
      <c r="I93" s="6" t="s">
        <v>44</v>
      </c>
      <c r="J93" s="6" t="s">
        <v>49</v>
      </c>
      <c r="K93" s="6" t="s">
        <v>96</v>
      </c>
      <c r="L93" s="6" t="s">
        <v>948</v>
      </c>
      <c r="M93" s="6" t="s">
        <v>49</v>
      </c>
      <c r="N93" s="6" t="s">
        <v>949</v>
      </c>
      <c r="O93" s="6" t="s">
        <v>950</v>
      </c>
      <c r="P93" s="6" t="s">
        <v>951</v>
      </c>
      <c r="Q93" s="6" t="s">
        <v>573</v>
      </c>
      <c r="R93" s="6" t="s">
        <v>230</v>
      </c>
      <c r="S93" s="6" t="s">
        <v>103</v>
      </c>
      <c r="T93" s="6" t="s">
        <v>919</v>
      </c>
      <c r="U93" s="6" t="s">
        <v>952</v>
      </c>
      <c r="V93" s="6" t="s">
        <v>953</v>
      </c>
      <c r="W93" s="6" t="n">
        <v>11</v>
      </c>
      <c r="X93" s="6" t="s">
        <v>33</v>
      </c>
      <c r="Y93" s="6" t="s">
        <v>793</v>
      </c>
      <c r="Z93" s="6" t="s">
        <v>40</v>
      </c>
      <c r="AA93" s="6" t="s">
        <v>160</v>
      </c>
      <c r="AB93" s="6" t="s">
        <v>954</v>
      </c>
      <c r="AC93" s="6"/>
      <c r="AD93" s="6" t="s">
        <v>955</v>
      </c>
      <c r="AE93" s="6" t="s">
        <v>52</v>
      </c>
    </row>
    <row r="94" customFormat="false" ht="23.85" hidden="false" customHeight="false" outlineLevel="0" collapsed="false">
      <c r="A94" s="6" t="s">
        <v>952</v>
      </c>
      <c r="B94" s="6" t="s">
        <v>956</v>
      </c>
      <c r="C94" s="6" t="s">
        <v>957</v>
      </c>
      <c r="D94" s="6" t="s">
        <v>777</v>
      </c>
      <c r="E94" s="6" t="s">
        <v>922</v>
      </c>
      <c r="F94" s="6" t="s">
        <v>25</v>
      </c>
      <c r="G94" s="6" t="s">
        <v>191</v>
      </c>
      <c r="H94" s="6" t="s">
        <v>31</v>
      </c>
      <c r="I94" s="6" t="s">
        <v>44</v>
      </c>
      <c r="J94" s="6" t="s">
        <v>49</v>
      </c>
      <c r="K94" s="6" t="s">
        <v>96</v>
      </c>
      <c r="L94" s="6" t="s">
        <v>958</v>
      </c>
      <c r="M94" s="6" t="s">
        <v>49</v>
      </c>
      <c r="N94" s="6" t="s">
        <v>959</v>
      </c>
      <c r="O94" s="6" t="s">
        <v>950</v>
      </c>
      <c r="P94" s="6" t="s">
        <v>960</v>
      </c>
      <c r="Q94" s="6" t="s">
        <v>573</v>
      </c>
      <c r="R94" s="6" t="s">
        <v>230</v>
      </c>
      <c r="S94" s="6" t="s">
        <v>103</v>
      </c>
      <c r="T94" s="6" t="s">
        <v>945</v>
      </c>
      <c r="U94" s="6" t="s">
        <v>961</v>
      </c>
      <c r="V94" s="6" t="s">
        <v>953</v>
      </c>
      <c r="W94" s="6" t="n">
        <v>12</v>
      </c>
      <c r="X94" s="6" t="s">
        <v>33</v>
      </c>
      <c r="Y94" s="6" t="s">
        <v>793</v>
      </c>
      <c r="Z94" s="6" t="s">
        <v>40</v>
      </c>
      <c r="AA94" s="6" t="s">
        <v>160</v>
      </c>
      <c r="AB94" s="6" t="s">
        <v>954</v>
      </c>
      <c r="AC94" s="6" t="s">
        <v>945</v>
      </c>
      <c r="AD94" s="6" t="s">
        <v>962</v>
      </c>
      <c r="AE94" s="6" t="s">
        <v>52</v>
      </c>
    </row>
    <row r="95" customFormat="false" ht="35.05" hidden="false" customHeight="false" outlineLevel="0" collapsed="false">
      <c r="A95" s="6" t="s">
        <v>961</v>
      </c>
      <c r="B95" s="6" t="s">
        <v>963</v>
      </c>
      <c r="C95" s="6" t="s">
        <v>964</v>
      </c>
      <c r="D95" s="6" t="s">
        <v>777</v>
      </c>
      <c r="E95" s="6" t="s">
        <v>922</v>
      </c>
      <c r="F95" s="6" t="s">
        <v>26</v>
      </c>
      <c r="G95" s="6" t="s">
        <v>448</v>
      </c>
      <c r="H95" s="6" t="s">
        <v>31</v>
      </c>
      <c r="I95" s="6" t="s">
        <v>44</v>
      </c>
      <c r="J95" s="6" t="s">
        <v>49</v>
      </c>
      <c r="K95" s="6" t="s">
        <v>96</v>
      </c>
      <c r="L95" s="6" t="s">
        <v>958</v>
      </c>
      <c r="M95" s="6" t="s">
        <v>49</v>
      </c>
      <c r="N95" s="6" t="s">
        <v>959</v>
      </c>
      <c r="O95" s="6" t="s">
        <v>950</v>
      </c>
      <c r="P95" s="6" t="s">
        <v>965</v>
      </c>
      <c r="Q95" s="6" t="s">
        <v>573</v>
      </c>
      <c r="R95" s="6" t="s">
        <v>101</v>
      </c>
      <c r="S95" s="6" t="s">
        <v>966</v>
      </c>
      <c r="T95" s="6" t="s">
        <v>952</v>
      </c>
      <c r="U95" s="6"/>
      <c r="V95" s="6" t="s">
        <v>967</v>
      </c>
      <c r="W95" s="6" t="n">
        <v>13</v>
      </c>
      <c r="X95" s="6" t="s">
        <v>33</v>
      </c>
      <c r="Y95" s="6" t="s">
        <v>793</v>
      </c>
      <c r="Z95" s="6" t="s">
        <v>40</v>
      </c>
      <c r="AA95" s="6" t="s">
        <v>160</v>
      </c>
      <c r="AB95" s="6" t="s">
        <v>954</v>
      </c>
      <c r="AC95" s="6" t="s">
        <v>952</v>
      </c>
      <c r="AD95" s="6" t="s">
        <v>968</v>
      </c>
      <c r="AE95" s="6" t="s">
        <v>52</v>
      </c>
    </row>
    <row r="96" customFormat="false" ht="23.85" hidden="false" customHeight="false" outlineLevel="0" collapsed="false">
      <c r="A96" s="6" t="s">
        <v>969</v>
      </c>
      <c r="B96" s="6" t="s">
        <v>970</v>
      </c>
      <c r="C96" s="6" t="s">
        <v>971</v>
      </c>
      <c r="D96" s="6" t="s">
        <v>777</v>
      </c>
      <c r="E96" s="6" t="s">
        <v>922</v>
      </c>
      <c r="F96" s="6" t="s">
        <v>24</v>
      </c>
      <c r="G96" s="6" t="s">
        <v>260</v>
      </c>
      <c r="H96" s="6" t="s">
        <v>28</v>
      </c>
      <c r="I96" s="6" t="s">
        <v>45</v>
      </c>
      <c r="J96" s="6" t="s">
        <v>49</v>
      </c>
      <c r="K96" s="6" t="s">
        <v>372</v>
      </c>
      <c r="L96" s="6" t="s">
        <v>972</v>
      </c>
      <c r="M96" s="6" t="s">
        <v>49</v>
      </c>
      <c r="N96" s="6" t="s">
        <v>973</v>
      </c>
      <c r="O96" s="6" t="s">
        <v>974</v>
      </c>
      <c r="P96" s="6" t="s">
        <v>975</v>
      </c>
      <c r="Q96" s="6" t="s">
        <v>376</v>
      </c>
      <c r="R96" s="6" t="s">
        <v>230</v>
      </c>
      <c r="S96" s="6" t="s">
        <v>103</v>
      </c>
      <c r="T96" s="6" t="s">
        <v>919</v>
      </c>
      <c r="U96" s="6"/>
      <c r="V96" s="6" t="s">
        <v>407</v>
      </c>
      <c r="W96" s="6" t="n">
        <v>72</v>
      </c>
      <c r="X96" s="6" t="s">
        <v>36</v>
      </c>
      <c r="Y96" s="6" t="s">
        <v>106</v>
      </c>
      <c r="Z96" s="6" t="s">
        <v>41</v>
      </c>
      <c r="AA96" s="6" t="s">
        <v>379</v>
      </c>
      <c r="AB96" s="6" t="s">
        <v>267</v>
      </c>
      <c r="AC96" s="6" t="s">
        <v>919</v>
      </c>
      <c r="AD96" s="6" t="s">
        <v>976</v>
      </c>
      <c r="AE96" s="6" t="s">
        <v>52</v>
      </c>
    </row>
    <row r="97" customFormat="false" ht="35.05" hidden="false" customHeight="false" outlineLevel="0" collapsed="false">
      <c r="A97" s="6" t="s">
        <v>977</v>
      </c>
      <c r="B97" s="6" t="s">
        <v>978</v>
      </c>
      <c r="C97" s="6" t="s">
        <v>979</v>
      </c>
      <c r="D97" s="6" t="s">
        <v>777</v>
      </c>
      <c r="E97" s="6" t="s">
        <v>922</v>
      </c>
      <c r="F97" s="6" t="s">
        <v>24</v>
      </c>
      <c r="G97" s="6" t="s">
        <v>260</v>
      </c>
      <c r="H97" s="6" t="s">
        <v>31</v>
      </c>
      <c r="I97" s="6" t="s">
        <v>46</v>
      </c>
      <c r="J97" s="6" t="s">
        <v>50</v>
      </c>
      <c r="K97" s="6" t="s">
        <v>96</v>
      </c>
      <c r="L97" s="6" t="s">
        <v>980</v>
      </c>
      <c r="M97" s="6" t="s">
        <v>50</v>
      </c>
      <c r="N97" s="6" t="s">
        <v>924</v>
      </c>
      <c r="O97" s="6" t="s">
        <v>981</v>
      </c>
      <c r="P97" s="6" t="s">
        <v>982</v>
      </c>
      <c r="Q97" s="6" t="s">
        <v>101</v>
      </c>
      <c r="R97" s="6" t="s">
        <v>230</v>
      </c>
      <c r="S97" s="6" t="s">
        <v>103</v>
      </c>
      <c r="T97" s="6" t="s">
        <v>919</v>
      </c>
      <c r="U97" s="6"/>
      <c r="V97" s="6" t="s">
        <v>575</v>
      </c>
      <c r="W97" s="6" t="n">
        <v>137</v>
      </c>
      <c r="X97" s="6" t="s">
        <v>38</v>
      </c>
      <c r="Y97" s="6" t="s">
        <v>106</v>
      </c>
      <c r="Z97" s="6" t="s">
        <v>42</v>
      </c>
      <c r="AA97" s="6" t="s">
        <v>173</v>
      </c>
      <c r="AB97" s="6"/>
      <c r="AC97" s="6" t="s">
        <v>931</v>
      </c>
      <c r="AD97" s="6" t="s">
        <v>983</v>
      </c>
      <c r="AE97" s="6" t="s">
        <v>52</v>
      </c>
    </row>
    <row r="98" customFormat="false" ht="35.05" hidden="false" customHeight="false" outlineLevel="0" collapsed="false">
      <c r="A98" s="6" t="s">
        <v>984</v>
      </c>
      <c r="B98" s="6" t="s">
        <v>985</v>
      </c>
      <c r="C98" s="6" t="s">
        <v>986</v>
      </c>
      <c r="D98" s="6" t="s">
        <v>777</v>
      </c>
      <c r="E98" s="6" t="s">
        <v>922</v>
      </c>
      <c r="F98" s="6" t="s">
        <v>24</v>
      </c>
      <c r="G98" s="6" t="s">
        <v>260</v>
      </c>
      <c r="H98" s="6" t="s">
        <v>31</v>
      </c>
      <c r="I98" s="6" t="s">
        <v>45</v>
      </c>
      <c r="J98" s="6" t="s">
        <v>49</v>
      </c>
      <c r="K98" s="6" t="s">
        <v>96</v>
      </c>
      <c r="L98" s="6" t="s">
        <v>987</v>
      </c>
      <c r="M98" s="6" t="s">
        <v>49</v>
      </c>
      <c r="N98" s="6" t="s">
        <v>988</v>
      </c>
      <c r="O98" s="6" t="s">
        <v>989</v>
      </c>
      <c r="P98" s="6" t="s">
        <v>990</v>
      </c>
      <c r="Q98" s="6" t="s">
        <v>101</v>
      </c>
      <c r="R98" s="6" t="s">
        <v>230</v>
      </c>
      <c r="S98" s="6" t="s">
        <v>103</v>
      </c>
      <c r="T98" s="6" t="s">
        <v>308</v>
      </c>
      <c r="U98" s="6"/>
      <c r="V98" s="6" t="s">
        <v>991</v>
      </c>
      <c r="W98" s="6" t="n">
        <v>73</v>
      </c>
      <c r="X98" s="6" t="s">
        <v>36</v>
      </c>
      <c r="Y98" s="6" t="s">
        <v>106</v>
      </c>
      <c r="Z98" s="6" t="s">
        <v>41</v>
      </c>
      <c r="AA98" s="6" t="s">
        <v>107</v>
      </c>
      <c r="AB98" s="6" t="s">
        <v>267</v>
      </c>
      <c r="AC98" s="6" t="s">
        <v>308</v>
      </c>
      <c r="AD98" s="6" t="s">
        <v>992</v>
      </c>
      <c r="AE98" s="6" t="s">
        <v>52</v>
      </c>
    </row>
    <row r="99" customFormat="false" ht="23.85" hidden="false" customHeight="false" outlineLevel="0" collapsed="false">
      <c r="A99" s="6" t="s">
        <v>993</v>
      </c>
      <c r="B99" s="6" t="s">
        <v>994</v>
      </c>
      <c r="C99" s="6" t="s">
        <v>995</v>
      </c>
      <c r="D99" s="6" t="s">
        <v>777</v>
      </c>
      <c r="E99" s="6" t="s">
        <v>996</v>
      </c>
      <c r="F99" s="6" t="s">
        <v>24</v>
      </c>
      <c r="G99" s="6" t="s">
        <v>260</v>
      </c>
      <c r="H99" s="6" t="s">
        <v>31</v>
      </c>
      <c r="I99" s="6" t="s">
        <v>45</v>
      </c>
      <c r="J99" s="6" t="s">
        <v>49</v>
      </c>
      <c r="K99" s="6" t="s">
        <v>96</v>
      </c>
      <c r="L99" s="6" t="s">
        <v>997</v>
      </c>
      <c r="M99" s="6" t="s">
        <v>49</v>
      </c>
      <c r="N99" s="6" t="s">
        <v>998</v>
      </c>
      <c r="O99" s="6" t="s">
        <v>999</v>
      </c>
      <c r="P99" s="6" t="s">
        <v>1000</v>
      </c>
      <c r="Q99" s="6" t="s">
        <v>573</v>
      </c>
      <c r="R99" s="6" t="s">
        <v>230</v>
      </c>
      <c r="S99" s="6" t="s">
        <v>103</v>
      </c>
      <c r="T99" s="6" t="s">
        <v>265</v>
      </c>
      <c r="U99" s="6"/>
      <c r="V99" s="6" t="s">
        <v>575</v>
      </c>
      <c r="W99" s="6" t="n">
        <v>74</v>
      </c>
      <c r="X99" s="6" t="s">
        <v>36</v>
      </c>
      <c r="Y99" s="6" t="s">
        <v>106</v>
      </c>
      <c r="Z99" s="6" t="s">
        <v>41</v>
      </c>
      <c r="AA99" s="6" t="s">
        <v>107</v>
      </c>
      <c r="AB99" s="6" t="s">
        <v>1001</v>
      </c>
      <c r="AC99" s="6" t="s">
        <v>586</v>
      </c>
      <c r="AD99" s="6" t="s">
        <v>1002</v>
      </c>
      <c r="AE99" s="6" t="s">
        <v>52</v>
      </c>
    </row>
    <row r="100" customFormat="false" ht="23.85" hidden="false" customHeight="false" outlineLevel="0" collapsed="false">
      <c r="A100" s="6" t="s">
        <v>1003</v>
      </c>
      <c r="B100" s="6" t="s">
        <v>1004</v>
      </c>
      <c r="C100" s="6" t="s">
        <v>1005</v>
      </c>
      <c r="D100" s="6" t="s">
        <v>777</v>
      </c>
      <c r="E100" s="6" t="s">
        <v>996</v>
      </c>
      <c r="F100" s="6" t="s">
        <v>25</v>
      </c>
      <c r="G100" s="6" t="s">
        <v>191</v>
      </c>
      <c r="H100" s="6" t="s">
        <v>31</v>
      </c>
      <c r="I100" s="6" t="s">
        <v>44</v>
      </c>
      <c r="J100" s="6" t="s">
        <v>49</v>
      </c>
      <c r="K100" s="6" t="s">
        <v>96</v>
      </c>
      <c r="L100" s="6" t="s">
        <v>1006</v>
      </c>
      <c r="M100" s="6" t="s">
        <v>49</v>
      </c>
      <c r="N100" s="6" t="s">
        <v>1007</v>
      </c>
      <c r="O100" s="6" t="s">
        <v>1008</v>
      </c>
      <c r="P100" s="6" t="s">
        <v>1009</v>
      </c>
      <c r="Q100" s="6" t="s">
        <v>573</v>
      </c>
      <c r="R100" s="6" t="s">
        <v>230</v>
      </c>
      <c r="S100" s="6" t="s">
        <v>103</v>
      </c>
      <c r="T100" s="6" t="s">
        <v>265</v>
      </c>
      <c r="U100" s="6" t="s">
        <v>1010</v>
      </c>
      <c r="V100" s="6" t="s">
        <v>305</v>
      </c>
      <c r="W100" s="6" t="n">
        <v>75</v>
      </c>
      <c r="X100" s="6" t="s">
        <v>36</v>
      </c>
      <c r="Y100" s="6" t="s">
        <v>106</v>
      </c>
      <c r="Z100" s="6" t="s">
        <v>40</v>
      </c>
      <c r="AA100" s="6" t="s">
        <v>160</v>
      </c>
      <c r="AB100" s="6" t="s">
        <v>1011</v>
      </c>
      <c r="AC100" s="6" t="s">
        <v>265</v>
      </c>
      <c r="AD100" s="6" t="s">
        <v>1012</v>
      </c>
      <c r="AE100" s="6" t="s">
        <v>52</v>
      </c>
    </row>
    <row r="101" customFormat="false" ht="23.85" hidden="false" customHeight="false" outlineLevel="0" collapsed="false">
      <c r="A101" s="6" t="s">
        <v>1010</v>
      </c>
      <c r="B101" s="6" t="s">
        <v>1013</v>
      </c>
      <c r="C101" s="6" t="s">
        <v>1014</v>
      </c>
      <c r="D101" s="6" t="s">
        <v>777</v>
      </c>
      <c r="E101" s="6" t="s">
        <v>996</v>
      </c>
      <c r="F101" s="6" t="s">
        <v>26</v>
      </c>
      <c r="G101" s="6" t="s">
        <v>204</v>
      </c>
      <c r="H101" s="6" t="s">
        <v>31</v>
      </c>
      <c r="I101" s="6" t="s">
        <v>45</v>
      </c>
      <c r="J101" s="6" t="s">
        <v>49</v>
      </c>
      <c r="K101" s="6" t="s">
        <v>96</v>
      </c>
      <c r="L101" s="6" t="s">
        <v>1006</v>
      </c>
      <c r="M101" s="6" t="s">
        <v>49</v>
      </c>
      <c r="N101" s="6" t="s">
        <v>1007</v>
      </c>
      <c r="O101" s="6" t="s">
        <v>1008</v>
      </c>
      <c r="P101" s="6" t="s">
        <v>1015</v>
      </c>
      <c r="Q101" s="6" t="s">
        <v>573</v>
      </c>
      <c r="R101" s="6" t="s">
        <v>230</v>
      </c>
      <c r="S101" s="6" t="s">
        <v>103</v>
      </c>
      <c r="T101" s="6" t="s">
        <v>1003</v>
      </c>
      <c r="U101" s="6"/>
      <c r="V101" s="6" t="s">
        <v>210</v>
      </c>
      <c r="W101" s="6" t="n">
        <v>76</v>
      </c>
      <c r="X101" s="6" t="s">
        <v>36</v>
      </c>
      <c r="Y101" s="6" t="s">
        <v>106</v>
      </c>
      <c r="Z101" s="6" t="s">
        <v>40</v>
      </c>
      <c r="AA101" s="6" t="s">
        <v>160</v>
      </c>
      <c r="AB101" s="6" t="s">
        <v>1011</v>
      </c>
      <c r="AC101" s="6" t="s">
        <v>1003</v>
      </c>
      <c r="AD101" s="6" t="s">
        <v>1016</v>
      </c>
      <c r="AE101" s="6" t="s">
        <v>52</v>
      </c>
    </row>
    <row r="102" customFormat="false" ht="23.85" hidden="false" customHeight="false" outlineLevel="0" collapsed="false">
      <c r="A102" s="6" t="s">
        <v>1017</v>
      </c>
      <c r="B102" s="6" t="s">
        <v>1018</v>
      </c>
      <c r="C102" s="6" t="s">
        <v>1019</v>
      </c>
      <c r="D102" s="6" t="s">
        <v>777</v>
      </c>
      <c r="E102" s="6" t="s">
        <v>996</v>
      </c>
      <c r="F102" s="6" t="s">
        <v>25</v>
      </c>
      <c r="G102" s="6" t="s">
        <v>191</v>
      </c>
      <c r="H102" s="6" t="s">
        <v>31</v>
      </c>
      <c r="I102" s="6" t="s">
        <v>44</v>
      </c>
      <c r="J102" s="6" t="s">
        <v>49</v>
      </c>
      <c r="K102" s="6" t="s">
        <v>96</v>
      </c>
      <c r="L102" s="6" t="s">
        <v>1020</v>
      </c>
      <c r="M102" s="6" t="s">
        <v>49</v>
      </c>
      <c r="N102" s="6" t="s">
        <v>1021</v>
      </c>
      <c r="O102" s="6" t="s">
        <v>1022</v>
      </c>
      <c r="P102" s="6" t="s">
        <v>1023</v>
      </c>
      <c r="Q102" s="6" t="s">
        <v>573</v>
      </c>
      <c r="R102" s="6" t="s">
        <v>230</v>
      </c>
      <c r="S102" s="6" t="s">
        <v>103</v>
      </c>
      <c r="T102" s="6" t="s">
        <v>680</v>
      </c>
      <c r="U102" s="6"/>
      <c r="V102" s="6" t="s">
        <v>575</v>
      </c>
      <c r="W102" s="6" t="n">
        <v>77</v>
      </c>
      <c r="X102" s="6" t="s">
        <v>36</v>
      </c>
      <c r="Y102" s="6" t="s">
        <v>106</v>
      </c>
      <c r="Z102" s="6" t="s">
        <v>40</v>
      </c>
      <c r="AA102" s="6" t="s">
        <v>160</v>
      </c>
      <c r="AB102" s="6"/>
      <c r="AC102" s="6" t="s">
        <v>680</v>
      </c>
      <c r="AD102" s="6" t="s">
        <v>1024</v>
      </c>
      <c r="AE102" s="6" t="s">
        <v>52</v>
      </c>
    </row>
    <row r="103" customFormat="false" ht="46.25" hidden="false" customHeight="false" outlineLevel="0" collapsed="false">
      <c r="A103" s="6" t="s">
        <v>1025</v>
      </c>
      <c r="B103" s="6" t="s">
        <v>1026</v>
      </c>
      <c r="C103" s="6" t="s">
        <v>1027</v>
      </c>
      <c r="D103" s="6" t="s">
        <v>777</v>
      </c>
      <c r="E103" s="6" t="s">
        <v>996</v>
      </c>
      <c r="F103" s="6" t="s">
        <v>24</v>
      </c>
      <c r="G103" s="6" t="s">
        <v>260</v>
      </c>
      <c r="H103" s="6" t="s">
        <v>31</v>
      </c>
      <c r="I103" s="6" t="s">
        <v>44</v>
      </c>
      <c r="J103" s="6" t="s">
        <v>49</v>
      </c>
      <c r="K103" s="6" t="s">
        <v>1028</v>
      </c>
      <c r="L103" s="6" t="s">
        <v>1029</v>
      </c>
      <c r="M103" s="6" t="s">
        <v>49</v>
      </c>
      <c r="N103" s="6" t="s">
        <v>1030</v>
      </c>
      <c r="O103" s="6" t="s">
        <v>1031</v>
      </c>
      <c r="P103" s="6" t="s">
        <v>1032</v>
      </c>
      <c r="Q103" s="6" t="s">
        <v>101</v>
      </c>
      <c r="R103" s="6" t="s">
        <v>230</v>
      </c>
      <c r="S103" s="6" t="s">
        <v>103</v>
      </c>
      <c r="T103" s="6" t="s">
        <v>265</v>
      </c>
      <c r="U103" s="6"/>
      <c r="V103" s="6" t="s">
        <v>1033</v>
      </c>
      <c r="W103" s="6" t="n">
        <v>78</v>
      </c>
      <c r="X103" s="6" t="s">
        <v>36</v>
      </c>
      <c r="Y103" s="6" t="s">
        <v>106</v>
      </c>
      <c r="Z103" s="6" t="s">
        <v>41</v>
      </c>
      <c r="AA103" s="6" t="s">
        <v>325</v>
      </c>
      <c r="AB103" s="6" t="s">
        <v>1034</v>
      </c>
      <c r="AC103" s="6" t="s">
        <v>138</v>
      </c>
      <c r="AD103" s="6" t="s">
        <v>1035</v>
      </c>
      <c r="AE103" s="6" t="s">
        <v>52</v>
      </c>
    </row>
    <row r="104" customFormat="false" ht="23.85" hidden="false" customHeight="false" outlineLevel="0" collapsed="false">
      <c r="A104" s="6" t="s">
        <v>1036</v>
      </c>
      <c r="B104" s="6" t="s">
        <v>1037</v>
      </c>
      <c r="C104" s="6" t="s">
        <v>1038</v>
      </c>
      <c r="D104" s="6" t="s">
        <v>777</v>
      </c>
      <c r="E104" s="6" t="s">
        <v>996</v>
      </c>
      <c r="F104" s="6" t="s">
        <v>24</v>
      </c>
      <c r="G104" s="6" t="s">
        <v>260</v>
      </c>
      <c r="H104" s="6" t="s">
        <v>31</v>
      </c>
      <c r="I104" s="6" t="s">
        <v>44</v>
      </c>
      <c r="J104" s="6" t="s">
        <v>49</v>
      </c>
      <c r="K104" s="6" t="s">
        <v>96</v>
      </c>
      <c r="L104" s="6" t="s">
        <v>1039</v>
      </c>
      <c r="M104" s="6" t="s">
        <v>49</v>
      </c>
      <c r="N104" s="6" t="s">
        <v>1040</v>
      </c>
      <c r="O104" s="6" t="s">
        <v>1041</v>
      </c>
      <c r="P104" s="6" t="s">
        <v>1042</v>
      </c>
      <c r="Q104" s="6" t="s">
        <v>573</v>
      </c>
      <c r="R104" s="6" t="s">
        <v>230</v>
      </c>
      <c r="S104" s="6" t="s">
        <v>103</v>
      </c>
      <c r="T104" s="6" t="s">
        <v>265</v>
      </c>
      <c r="U104" s="6" t="s">
        <v>1043</v>
      </c>
      <c r="V104" s="6" t="s">
        <v>575</v>
      </c>
      <c r="W104" s="6" t="n">
        <v>37</v>
      </c>
      <c r="X104" s="6" t="s">
        <v>34</v>
      </c>
      <c r="Y104" s="6" t="s">
        <v>793</v>
      </c>
      <c r="Z104" s="6" t="s">
        <v>41</v>
      </c>
      <c r="AA104" s="6" t="s">
        <v>917</v>
      </c>
      <c r="AB104" s="6"/>
      <c r="AC104" s="6" t="s">
        <v>586</v>
      </c>
      <c r="AD104" s="6" t="s">
        <v>1044</v>
      </c>
      <c r="AE104" s="6" t="s">
        <v>52</v>
      </c>
    </row>
    <row r="105" customFormat="false" ht="35.05" hidden="false" customHeight="false" outlineLevel="0" collapsed="false">
      <c r="A105" s="6" t="s">
        <v>1043</v>
      </c>
      <c r="B105" s="6" t="s">
        <v>1045</v>
      </c>
      <c r="C105" s="6" t="s">
        <v>1046</v>
      </c>
      <c r="D105" s="6" t="s">
        <v>777</v>
      </c>
      <c r="E105" s="6" t="s">
        <v>996</v>
      </c>
      <c r="F105" s="6" t="s">
        <v>26</v>
      </c>
      <c r="G105" s="6" t="s">
        <v>141</v>
      </c>
      <c r="H105" s="6" t="s">
        <v>31</v>
      </c>
      <c r="I105" s="6" t="s">
        <v>45</v>
      </c>
      <c r="J105" s="6" t="s">
        <v>49</v>
      </c>
      <c r="K105" s="6" t="s">
        <v>96</v>
      </c>
      <c r="L105" s="6" t="s">
        <v>1047</v>
      </c>
      <c r="M105" s="6" t="s">
        <v>49</v>
      </c>
      <c r="N105" s="6" t="s">
        <v>1048</v>
      </c>
      <c r="O105" s="6" t="s">
        <v>1049</v>
      </c>
      <c r="P105" s="6" t="s">
        <v>1050</v>
      </c>
      <c r="Q105" s="6" t="s">
        <v>573</v>
      </c>
      <c r="R105" s="6" t="s">
        <v>101</v>
      </c>
      <c r="S105" s="6" t="s">
        <v>347</v>
      </c>
      <c r="T105" s="6" t="s">
        <v>1036</v>
      </c>
      <c r="U105" s="6"/>
      <c r="V105" s="6" t="s">
        <v>594</v>
      </c>
      <c r="W105" s="6" t="n">
        <v>79</v>
      </c>
      <c r="X105" s="6" t="s">
        <v>36</v>
      </c>
      <c r="Y105" s="6" t="s">
        <v>106</v>
      </c>
      <c r="Z105" s="6" t="s">
        <v>40</v>
      </c>
      <c r="AA105" s="6" t="s">
        <v>160</v>
      </c>
      <c r="AB105" s="6"/>
      <c r="AC105" s="6" t="s">
        <v>1036</v>
      </c>
      <c r="AD105" s="6" t="s">
        <v>1051</v>
      </c>
      <c r="AE105" s="6" t="s">
        <v>52</v>
      </c>
    </row>
    <row r="106" customFormat="false" ht="23.85" hidden="false" customHeight="false" outlineLevel="0" collapsed="false">
      <c r="A106" s="6" t="s">
        <v>1052</v>
      </c>
      <c r="B106" s="6" t="s">
        <v>1053</v>
      </c>
      <c r="C106" s="6" t="s">
        <v>1054</v>
      </c>
      <c r="D106" s="6" t="s">
        <v>777</v>
      </c>
      <c r="E106" s="6" t="s">
        <v>996</v>
      </c>
      <c r="F106" s="6" t="s">
        <v>24</v>
      </c>
      <c r="G106" s="6" t="s">
        <v>260</v>
      </c>
      <c r="H106" s="6" t="s">
        <v>31</v>
      </c>
      <c r="I106" s="6" t="s">
        <v>45</v>
      </c>
      <c r="J106" s="6" t="s">
        <v>49</v>
      </c>
      <c r="K106" s="6" t="s">
        <v>96</v>
      </c>
      <c r="L106" s="6" t="s">
        <v>1055</v>
      </c>
      <c r="M106" s="6" t="s">
        <v>49</v>
      </c>
      <c r="N106" s="6" t="s">
        <v>1056</v>
      </c>
      <c r="O106" s="6" t="s">
        <v>1057</v>
      </c>
      <c r="P106" s="6" t="s">
        <v>1058</v>
      </c>
      <c r="Q106" s="6" t="s">
        <v>1059</v>
      </c>
      <c r="R106" s="6" t="s">
        <v>230</v>
      </c>
      <c r="S106" s="6" t="s">
        <v>103</v>
      </c>
      <c r="T106" s="6" t="s">
        <v>265</v>
      </c>
      <c r="U106" s="6"/>
      <c r="V106" s="6" t="s">
        <v>575</v>
      </c>
      <c r="W106" s="6" t="n">
        <v>80</v>
      </c>
      <c r="X106" s="6" t="s">
        <v>36</v>
      </c>
      <c r="Y106" s="6" t="s">
        <v>106</v>
      </c>
      <c r="Z106" s="6" t="s">
        <v>42</v>
      </c>
      <c r="AA106" s="6" t="s">
        <v>120</v>
      </c>
      <c r="AB106" s="6" t="s">
        <v>267</v>
      </c>
      <c r="AC106" s="6" t="s">
        <v>265</v>
      </c>
      <c r="AD106" s="6" t="s">
        <v>1060</v>
      </c>
      <c r="AE106" s="6" t="s">
        <v>52</v>
      </c>
    </row>
    <row r="107" customFormat="false" ht="35.05" hidden="false" customHeight="false" outlineLevel="0" collapsed="false">
      <c r="A107" s="6" t="s">
        <v>1061</v>
      </c>
      <c r="B107" s="6" t="s">
        <v>1062</v>
      </c>
      <c r="C107" s="6" t="s">
        <v>1063</v>
      </c>
      <c r="D107" s="6" t="s">
        <v>777</v>
      </c>
      <c r="E107" s="6" t="s">
        <v>996</v>
      </c>
      <c r="F107" s="6" t="s">
        <v>24</v>
      </c>
      <c r="G107" s="6" t="s">
        <v>260</v>
      </c>
      <c r="H107" s="6" t="s">
        <v>28</v>
      </c>
      <c r="I107" s="6" t="s">
        <v>45</v>
      </c>
      <c r="J107" s="6" t="s">
        <v>49</v>
      </c>
      <c r="K107" s="6" t="s">
        <v>96</v>
      </c>
      <c r="L107" s="6" t="s">
        <v>1064</v>
      </c>
      <c r="M107" s="6" t="s">
        <v>49</v>
      </c>
      <c r="N107" s="6" t="s">
        <v>1065</v>
      </c>
      <c r="O107" s="6" t="s">
        <v>1066</v>
      </c>
      <c r="P107" s="6" t="s">
        <v>1067</v>
      </c>
      <c r="Q107" s="6" t="s">
        <v>101</v>
      </c>
      <c r="R107" s="6" t="s">
        <v>230</v>
      </c>
      <c r="S107" s="6" t="s">
        <v>103</v>
      </c>
      <c r="T107" s="6" t="s">
        <v>497</v>
      </c>
      <c r="U107" s="6"/>
      <c r="V107" s="6" t="s">
        <v>1068</v>
      </c>
      <c r="W107" s="6" t="n">
        <v>81</v>
      </c>
      <c r="X107" s="6" t="s">
        <v>36</v>
      </c>
      <c r="Y107" s="6" t="s">
        <v>106</v>
      </c>
      <c r="Z107" s="6" t="s">
        <v>42</v>
      </c>
      <c r="AA107" s="6" t="s">
        <v>120</v>
      </c>
      <c r="AB107" s="6" t="s">
        <v>1001</v>
      </c>
      <c r="AC107" s="6" t="s">
        <v>497</v>
      </c>
      <c r="AD107" s="6" t="s">
        <v>1069</v>
      </c>
      <c r="AE107" s="6" t="s">
        <v>52</v>
      </c>
    </row>
    <row r="108" customFormat="false" ht="35.05" hidden="false" customHeight="false" outlineLevel="0" collapsed="false">
      <c r="A108" s="6" t="s">
        <v>1070</v>
      </c>
      <c r="B108" s="6" t="s">
        <v>1071</v>
      </c>
      <c r="C108" s="6" t="s">
        <v>1072</v>
      </c>
      <c r="D108" s="6" t="s">
        <v>777</v>
      </c>
      <c r="E108" s="6" t="s">
        <v>996</v>
      </c>
      <c r="F108" s="6" t="s">
        <v>24</v>
      </c>
      <c r="G108" s="6" t="s">
        <v>260</v>
      </c>
      <c r="H108" s="6" t="s">
        <v>31</v>
      </c>
      <c r="I108" s="6" t="s">
        <v>46</v>
      </c>
      <c r="J108" s="6" t="s">
        <v>50</v>
      </c>
      <c r="K108" s="6" t="s">
        <v>96</v>
      </c>
      <c r="L108" s="6" t="s">
        <v>1073</v>
      </c>
      <c r="M108" s="6" t="s">
        <v>50</v>
      </c>
      <c r="N108" s="6" t="s">
        <v>1074</v>
      </c>
      <c r="O108" s="6" t="s">
        <v>1075</v>
      </c>
      <c r="P108" s="6" t="s">
        <v>1076</v>
      </c>
      <c r="Q108" s="6" t="s">
        <v>101</v>
      </c>
      <c r="R108" s="6" t="s">
        <v>230</v>
      </c>
      <c r="S108" s="6" t="s">
        <v>103</v>
      </c>
      <c r="T108" s="6" t="s">
        <v>265</v>
      </c>
      <c r="U108" s="6"/>
      <c r="V108" s="6" t="s">
        <v>1077</v>
      </c>
      <c r="W108" s="6" t="n">
        <v>138</v>
      </c>
      <c r="X108" s="6" t="s">
        <v>38</v>
      </c>
      <c r="Y108" s="6" t="s">
        <v>106</v>
      </c>
      <c r="Z108" s="6" t="s">
        <v>42</v>
      </c>
      <c r="AA108" s="6" t="s">
        <v>173</v>
      </c>
      <c r="AB108" s="6" t="s">
        <v>1001</v>
      </c>
      <c r="AC108" s="6" t="s">
        <v>621</v>
      </c>
      <c r="AD108" s="6" t="s">
        <v>1078</v>
      </c>
      <c r="AE108" s="6" t="s">
        <v>52</v>
      </c>
    </row>
    <row r="109" customFormat="false" ht="23.85" hidden="false" customHeight="false" outlineLevel="0" collapsed="false">
      <c r="A109" s="6" t="s">
        <v>1079</v>
      </c>
      <c r="B109" s="6" t="s">
        <v>1080</v>
      </c>
      <c r="C109" s="6" t="s">
        <v>1081</v>
      </c>
      <c r="D109" s="6" t="s">
        <v>777</v>
      </c>
      <c r="E109" s="6" t="s">
        <v>1082</v>
      </c>
      <c r="F109" s="6" t="s">
        <v>24</v>
      </c>
      <c r="G109" s="6" t="s">
        <v>260</v>
      </c>
      <c r="H109" s="6" t="s">
        <v>31</v>
      </c>
      <c r="I109" s="6" t="s">
        <v>44</v>
      </c>
      <c r="J109" s="6" t="s">
        <v>49</v>
      </c>
      <c r="K109" s="6" t="s">
        <v>96</v>
      </c>
      <c r="L109" s="6" t="s">
        <v>1083</v>
      </c>
      <c r="M109" s="6" t="s">
        <v>49</v>
      </c>
      <c r="N109" s="6" t="s">
        <v>1084</v>
      </c>
      <c r="O109" s="6" t="s">
        <v>1085</v>
      </c>
      <c r="P109" s="6" t="s">
        <v>1086</v>
      </c>
      <c r="Q109" s="6" t="s">
        <v>573</v>
      </c>
      <c r="R109" s="6" t="s">
        <v>230</v>
      </c>
      <c r="S109" s="6" t="s">
        <v>103</v>
      </c>
      <c r="T109" s="6" t="s">
        <v>265</v>
      </c>
      <c r="U109" s="6" t="s">
        <v>1087</v>
      </c>
      <c r="V109" s="6" t="s">
        <v>953</v>
      </c>
      <c r="W109" s="6" t="n">
        <v>82</v>
      </c>
      <c r="X109" s="6" t="s">
        <v>36</v>
      </c>
      <c r="Y109" s="6" t="s">
        <v>106</v>
      </c>
      <c r="Z109" s="6" t="s">
        <v>41</v>
      </c>
      <c r="AA109" s="6" t="s">
        <v>107</v>
      </c>
      <c r="AB109" s="6" t="s">
        <v>1001</v>
      </c>
      <c r="AC109" s="6" t="s">
        <v>612</v>
      </c>
      <c r="AD109" s="6" t="s">
        <v>1088</v>
      </c>
      <c r="AE109" s="6" t="s">
        <v>52</v>
      </c>
    </row>
    <row r="110" customFormat="false" ht="23.85" hidden="false" customHeight="false" outlineLevel="0" collapsed="false">
      <c r="A110" s="6" t="s">
        <v>1087</v>
      </c>
      <c r="B110" s="6" t="s">
        <v>1089</v>
      </c>
      <c r="C110" s="6" t="s">
        <v>1090</v>
      </c>
      <c r="D110" s="6" t="s">
        <v>777</v>
      </c>
      <c r="E110" s="6" t="s">
        <v>1082</v>
      </c>
      <c r="F110" s="6" t="s">
        <v>25</v>
      </c>
      <c r="G110" s="6" t="s">
        <v>191</v>
      </c>
      <c r="H110" s="6" t="s">
        <v>31</v>
      </c>
      <c r="I110" s="6" t="s">
        <v>45</v>
      </c>
      <c r="J110" s="6" t="s">
        <v>49</v>
      </c>
      <c r="K110" s="6" t="s">
        <v>96</v>
      </c>
      <c r="L110" s="6" t="s">
        <v>1091</v>
      </c>
      <c r="M110" s="6" t="s">
        <v>49</v>
      </c>
      <c r="N110" s="6" t="s">
        <v>1084</v>
      </c>
      <c r="O110" s="6" t="s">
        <v>1092</v>
      </c>
      <c r="P110" s="6" t="s">
        <v>1093</v>
      </c>
      <c r="Q110" s="6" t="s">
        <v>573</v>
      </c>
      <c r="R110" s="6" t="s">
        <v>230</v>
      </c>
      <c r="S110" s="6" t="s">
        <v>103</v>
      </c>
      <c r="T110" s="6" t="s">
        <v>1079</v>
      </c>
      <c r="U110" s="6" t="s">
        <v>1094</v>
      </c>
      <c r="V110" s="6" t="s">
        <v>953</v>
      </c>
      <c r="W110" s="6" t="n">
        <v>83</v>
      </c>
      <c r="X110" s="6" t="s">
        <v>36</v>
      </c>
      <c r="Y110" s="6" t="s">
        <v>106</v>
      </c>
      <c r="Z110" s="6" t="s">
        <v>40</v>
      </c>
      <c r="AA110" s="6" t="s">
        <v>160</v>
      </c>
      <c r="AB110" s="6" t="s">
        <v>1011</v>
      </c>
      <c r="AC110" s="6" t="s">
        <v>1079</v>
      </c>
      <c r="AD110" s="6" t="s">
        <v>1095</v>
      </c>
      <c r="AE110" s="6" t="s">
        <v>52</v>
      </c>
    </row>
    <row r="111" customFormat="false" ht="35.05" hidden="false" customHeight="false" outlineLevel="0" collapsed="false">
      <c r="A111" s="6" t="s">
        <v>1094</v>
      </c>
      <c r="B111" s="6" t="s">
        <v>1096</v>
      </c>
      <c r="C111" s="6" t="s">
        <v>1097</v>
      </c>
      <c r="D111" s="6" t="s">
        <v>777</v>
      </c>
      <c r="E111" s="6" t="s">
        <v>1082</v>
      </c>
      <c r="F111" s="6" t="s">
        <v>26</v>
      </c>
      <c r="G111" s="6" t="s">
        <v>204</v>
      </c>
      <c r="H111" s="6" t="s">
        <v>31</v>
      </c>
      <c r="I111" s="6" t="s">
        <v>45</v>
      </c>
      <c r="J111" s="6" t="s">
        <v>49</v>
      </c>
      <c r="K111" s="6" t="s">
        <v>96</v>
      </c>
      <c r="L111" s="6" t="s">
        <v>1098</v>
      </c>
      <c r="M111" s="6" t="s">
        <v>49</v>
      </c>
      <c r="N111" s="6" t="s">
        <v>1084</v>
      </c>
      <c r="O111" s="6" t="s">
        <v>1099</v>
      </c>
      <c r="P111" s="6" t="s">
        <v>1093</v>
      </c>
      <c r="Q111" s="6" t="s">
        <v>573</v>
      </c>
      <c r="R111" s="6" t="s">
        <v>101</v>
      </c>
      <c r="S111" s="6" t="s">
        <v>103</v>
      </c>
      <c r="T111" s="6" t="s">
        <v>1087</v>
      </c>
      <c r="U111" s="6"/>
      <c r="V111" s="6" t="s">
        <v>1100</v>
      </c>
      <c r="W111" s="6" t="n">
        <v>84</v>
      </c>
      <c r="X111" s="6" t="s">
        <v>36</v>
      </c>
      <c r="Y111" s="6" t="s">
        <v>106</v>
      </c>
      <c r="Z111" s="6" t="s">
        <v>40</v>
      </c>
      <c r="AA111" s="6" t="s">
        <v>160</v>
      </c>
      <c r="AB111" s="6"/>
      <c r="AC111" s="6" t="s">
        <v>1087</v>
      </c>
      <c r="AD111" s="6" t="s">
        <v>1101</v>
      </c>
      <c r="AE111" s="6" t="s">
        <v>52</v>
      </c>
    </row>
    <row r="112" customFormat="false" ht="35.05" hidden="false" customHeight="false" outlineLevel="0" collapsed="false">
      <c r="A112" s="6" t="s">
        <v>1102</v>
      </c>
      <c r="B112" s="6" t="s">
        <v>1103</v>
      </c>
      <c r="C112" s="6" t="s">
        <v>1104</v>
      </c>
      <c r="D112" s="6" t="s">
        <v>777</v>
      </c>
      <c r="E112" s="6" t="s">
        <v>1082</v>
      </c>
      <c r="F112" s="6" t="s">
        <v>24</v>
      </c>
      <c r="G112" s="6" t="s">
        <v>260</v>
      </c>
      <c r="H112" s="6" t="s">
        <v>31</v>
      </c>
      <c r="I112" s="6" t="s">
        <v>45</v>
      </c>
      <c r="J112" s="6" t="s">
        <v>49</v>
      </c>
      <c r="K112" s="6" t="s">
        <v>96</v>
      </c>
      <c r="L112" s="6" t="s">
        <v>1105</v>
      </c>
      <c r="M112" s="6" t="s">
        <v>49</v>
      </c>
      <c r="N112" s="6" t="s">
        <v>1106</v>
      </c>
      <c r="O112" s="6" t="s">
        <v>1107</v>
      </c>
      <c r="P112" s="6" t="s">
        <v>1108</v>
      </c>
      <c r="Q112" s="6" t="s">
        <v>573</v>
      </c>
      <c r="R112" s="6" t="s">
        <v>230</v>
      </c>
      <c r="S112" s="6" t="s">
        <v>103</v>
      </c>
      <c r="T112" s="6" t="s">
        <v>638</v>
      </c>
      <c r="U112" s="6"/>
      <c r="V112" s="6" t="s">
        <v>953</v>
      </c>
      <c r="W112" s="6" t="n">
        <v>85</v>
      </c>
      <c r="X112" s="6" t="s">
        <v>36</v>
      </c>
      <c r="Y112" s="6" t="s">
        <v>106</v>
      </c>
      <c r="Z112" s="6" t="s">
        <v>41</v>
      </c>
      <c r="AA112" s="6" t="s">
        <v>107</v>
      </c>
      <c r="AB112" s="6"/>
      <c r="AC112" s="6" t="s">
        <v>629</v>
      </c>
      <c r="AD112" s="6" t="s">
        <v>1109</v>
      </c>
      <c r="AE112" s="6" t="s">
        <v>52</v>
      </c>
    </row>
    <row r="113" customFormat="false" ht="35.05" hidden="false" customHeight="false" outlineLevel="0" collapsed="false">
      <c r="A113" s="6" t="s">
        <v>1110</v>
      </c>
      <c r="B113" s="6" t="s">
        <v>1111</v>
      </c>
      <c r="C113" s="6" t="s">
        <v>1112</v>
      </c>
      <c r="D113" s="6" t="s">
        <v>1113</v>
      </c>
      <c r="E113" s="6" t="s">
        <v>1114</v>
      </c>
      <c r="F113" s="6" t="s">
        <v>24</v>
      </c>
      <c r="G113" s="6" t="s">
        <v>260</v>
      </c>
      <c r="H113" s="6" t="s">
        <v>31</v>
      </c>
      <c r="I113" s="6" t="s">
        <v>45</v>
      </c>
      <c r="J113" s="6" t="s">
        <v>49</v>
      </c>
      <c r="K113" s="6" t="s">
        <v>360</v>
      </c>
      <c r="L113" s="6" t="s">
        <v>1115</v>
      </c>
      <c r="M113" s="6" t="s">
        <v>633</v>
      </c>
      <c r="N113" s="6" t="s">
        <v>1116</v>
      </c>
      <c r="O113" s="6" t="s">
        <v>1117</v>
      </c>
      <c r="P113" s="6" t="s">
        <v>1118</v>
      </c>
      <c r="Q113" s="6" t="s">
        <v>101</v>
      </c>
      <c r="R113" s="6" t="s">
        <v>230</v>
      </c>
      <c r="S113" s="6" t="s">
        <v>103</v>
      </c>
      <c r="T113" s="6" t="s">
        <v>265</v>
      </c>
      <c r="U113" s="6" t="s">
        <v>1119</v>
      </c>
      <c r="V113" s="6" t="s">
        <v>1033</v>
      </c>
      <c r="W113" s="6" t="n">
        <v>99</v>
      </c>
      <c r="X113" s="6" t="s">
        <v>36</v>
      </c>
      <c r="Y113" s="6" t="s">
        <v>106</v>
      </c>
      <c r="Z113" s="6" t="s">
        <v>42</v>
      </c>
      <c r="AA113" s="6" t="s">
        <v>1120</v>
      </c>
      <c r="AB113" s="6" t="s">
        <v>1034</v>
      </c>
      <c r="AC113" s="6" t="s">
        <v>1121</v>
      </c>
      <c r="AD113" s="6" t="s">
        <v>1122</v>
      </c>
      <c r="AE113" s="6" t="s">
        <v>52</v>
      </c>
    </row>
    <row r="114" customFormat="false" ht="35.05" hidden="false" customHeight="false" outlineLevel="0" collapsed="false">
      <c r="A114" s="6" t="s">
        <v>1123</v>
      </c>
      <c r="B114" s="6" t="s">
        <v>1124</v>
      </c>
      <c r="C114" s="6" t="s">
        <v>1125</v>
      </c>
      <c r="D114" s="6" t="s">
        <v>1113</v>
      </c>
      <c r="E114" s="6" t="s">
        <v>1114</v>
      </c>
      <c r="F114" s="6" t="s">
        <v>25</v>
      </c>
      <c r="G114" s="6" t="s">
        <v>191</v>
      </c>
      <c r="H114" s="6" t="s">
        <v>31</v>
      </c>
      <c r="I114" s="6" t="s">
        <v>45</v>
      </c>
      <c r="J114" s="6" t="s">
        <v>49</v>
      </c>
      <c r="K114" s="6" t="s">
        <v>96</v>
      </c>
      <c r="L114" s="6" t="s">
        <v>1126</v>
      </c>
      <c r="M114" s="6" t="s">
        <v>49</v>
      </c>
      <c r="N114" s="6" t="s">
        <v>1127</v>
      </c>
      <c r="O114" s="6" t="s">
        <v>1117</v>
      </c>
      <c r="P114" s="6" t="s">
        <v>1128</v>
      </c>
      <c r="Q114" s="6" t="s">
        <v>1129</v>
      </c>
      <c r="R114" s="6" t="s">
        <v>101</v>
      </c>
      <c r="S114" s="6" t="s">
        <v>103</v>
      </c>
      <c r="T114" s="6" t="s">
        <v>1110</v>
      </c>
      <c r="U114" s="6"/>
      <c r="V114" s="6" t="s">
        <v>305</v>
      </c>
      <c r="W114" s="6" t="n">
        <v>100</v>
      </c>
      <c r="X114" s="6" t="s">
        <v>36</v>
      </c>
      <c r="Y114" s="6" t="s">
        <v>106</v>
      </c>
      <c r="Z114" s="6" t="s">
        <v>42</v>
      </c>
      <c r="AA114" s="6" t="s">
        <v>728</v>
      </c>
      <c r="AB114" s="6" t="s">
        <v>1034</v>
      </c>
      <c r="AC114" s="6" t="s">
        <v>1110</v>
      </c>
      <c r="AD114" s="6" t="s">
        <v>1130</v>
      </c>
      <c r="AE114" s="6" t="s">
        <v>52</v>
      </c>
    </row>
    <row r="115" customFormat="false" ht="35.05" hidden="false" customHeight="false" outlineLevel="0" collapsed="false">
      <c r="A115" s="6" t="s">
        <v>1131</v>
      </c>
      <c r="B115" s="6" t="s">
        <v>1132</v>
      </c>
      <c r="C115" s="6" t="s">
        <v>1133</v>
      </c>
      <c r="D115" s="6" t="s">
        <v>1113</v>
      </c>
      <c r="E115" s="6" t="s">
        <v>1114</v>
      </c>
      <c r="F115" s="6" t="s">
        <v>26</v>
      </c>
      <c r="G115" s="6" t="s">
        <v>141</v>
      </c>
      <c r="H115" s="6" t="s">
        <v>31</v>
      </c>
      <c r="I115" s="6" t="s">
        <v>45</v>
      </c>
      <c r="J115" s="6" t="s">
        <v>49</v>
      </c>
      <c r="K115" s="6" t="s">
        <v>96</v>
      </c>
      <c r="L115" s="6" t="s">
        <v>1134</v>
      </c>
      <c r="M115" s="6" t="s">
        <v>49</v>
      </c>
      <c r="N115" s="6" t="s">
        <v>1135</v>
      </c>
      <c r="O115" s="6" t="s">
        <v>1136</v>
      </c>
      <c r="P115" s="6" t="s">
        <v>1137</v>
      </c>
      <c r="Q115" s="6" t="s">
        <v>1129</v>
      </c>
      <c r="R115" s="6" t="s">
        <v>101</v>
      </c>
      <c r="S115" s="6" t="s">
        <v>347</v>
      </c>
      <c r="T115" s="6" t="s">
        <v>1110</v>
      </c>
      <c r="U115" s="6"/>
      <c r="V115" s="6" t="s">
        <v>594</v>
      </c>
      <c r="W115" s="6" t="n">
        <v>101</v>
      </c>
      <c r="X115" s="6" t="s">
        <v>36</v>
      </c>
      <c r="Y115" s="6" t="s">
        <v>106</v>
      </c>
      <c r="Z115" s="6" t="s">
        <v>42</v>
      </c>
      <c r="AA115" s="6" t="s">
        <v>728</v>
      </c>
      <c r="AB115" s="6" t="s">
        <v>1034</v>
      </c>
      <c r="AC115" s="6" t="s">
        <v>1110</v>
      </c>
      <c r="AD115" s="6" t="s">
        <v>1138</v>
      </c>
      <c r="AE115" s="6" t="s">
        <v>52</v>
      </c>
    </row>
    <row r="116" customFormat="false" ht="35.05" hidden="false" customHeight="false" outlineLevel="0" collapsed="false">
      <c r="A116" s="6" t="s">
        <v>1139</v>
      </c>
      <c r="B116" s="6" t="s">
        <v>1140</v>
      </c>
      <c r="C116" s="6" t="s">
        <v>1141</v>
      </c>
      <c r="D116" s="6" t="s">
        <v>1113</v>
      </c>
      <c r="E116" s="6" t="s">
        <v>1114</v>
      </c>
      <c r="F116" s="6" t="s">
        <v>25</v>
      </c>
      <c r="G116" s="6" t="s">
        <v>1142</v>
      </c>
      <c r="H116" s="6" t="s">
        <v>28</v>
      </c>
      <c r="I116" s="6" t="s">
        <v>46</v>
      </c>
      <c r="J116" s="6" t="s">
        <v>50</v>
      </c>
      <c r="K116" s="6" t="s">
        <v>96</v>
      </c>
      <c r="L116" s="6" t="s">
        <v>1143</v>
      </c>
      <c r="M116" s="6" t="s">
        <v>50</v>
      </c>
      <c r="N116" s="6" t="s">
        <v>1144</v>
      </c>
      <c r="O116" s="6" t="s">
        <v>1145</v>
      </c>
      <c r="P116" s="6" t="s">
        <v>1146</v>
      </c>
      <c r="Q116" s="6" t="s">
        <v>101</v>
      </c>
      <c r="R116" s="6" t="s">
        <v>230</v>
      </c>
      <c r="S116" s="6" t="s">
        <v>103</v>
      </c>
      <c r="T116" s="6" t="s">
        <v>1147</v>
      </c>
      <c r="U116" s="6"/>
      <c r="V116" s="6" t="s">
        <v>506</v>
      </c>
      <c r="W116" s="6" t="n">
        <v>102</v>
      </c>
      <c r="X116" s="6" t="s">
        <v>36</v>
      </c>
      <c r="Y116" s="6" t="s">
        <v>106</v>
      </c>
      <c r="Z116" s="6" t="s">
        <v>41</v>
      </c>
      <c r="AA116" s="6" t="s">
        <v>173</v>
      </c>
      <c r="AB116" s="6" t="s">
        <v>1034</v>
      </c>
      <c r="AC116" s="6" t="s">
        <v>1110</v>
      </c>
      <c r="AD116" s="6" t="s">
        <v>1148</v>
      </c>
      <c r="AE116" s="6" t="s">
        <v>52</v>
      </c>
    </row>
    <row r="117" customFormat="false" ht="35.05" hidden="false" customHeight="false" outlineLevel="0" collapsed="false">
      <c r="A117" s="6" t="s">
        <v>1149</v>
      </c>
      <c r="B117" s="6" t="s">
        <v>1150</v>
      </c>
      <c r="C117" s="6" t="s">
        <v>1151</v>
      </c>
      <c r="D117" s="6" t="s">
        <v>1113</v>
      </c>
      <c r="E117" s="6" t="s">
        <v>1152</v>
      </c>
      <c r="F117" s="6" t="s">
        <v>25</v>
      </c>
      <c r="G117" s="6" t="s">
        <v>191</v>
      </c>
      <c r="H117" s="6" t="s">
        <v>28</v>
      </c>
      <c r="I117" s="6" t="s">
        <v>45</v>
      </c>
      <c r="J117" s="6" t="s">
        <v>49</v>
      </c>
      <c r="K117" s="6" t="s">
        <v>96</v>
      </c>
      <c r="L117" s="6" t="s">
        <v>1153</v>
      </c>
      <c r="M117" s="6" t="s">
        <v>49</v>
      </c>
      <c r="N117" s="6" t="s">
        <v>1154</v>
      </c>
      <c r="O117" s="6" t="s">
        <v>1155</v>
      </c>
      <c r="P117" s="6" t="s">
        <v>1156</v>
      </c>
      <c r="Q117" s="6" t="s">
        <v>1129</v>
      </c>
      <c r="R117" s="6" t="s">
        <v>101</v>
      </c>
      <c r="S117" s="6" t="s">
        <v>103</v>
      </c>
      <c r="T117" s="6" t="s">
        <v>1110</v>
      </c>
      <c r="U117" s="6"/>
      <c r="V117" s="6" t="s">
        <v>305</v>
      </c>
      <c r="W117" s="6" t="n">
        <v>104</v>
      </c>
      <c r="X117" s="6" t="s">
        <v>36</v>
      </c>
      <c r="Y117" s="6" t="s">
        <v>106</v>
      </c>
      <c r="Z117" s="6" t="s">
        <v>42</v>
      </c>
      <c r="AA117" s="6" t="s">
        <v>728</v>
      </c>
      <c r="AB117" s="6" t="s">
        <v>1034</v>
      </c>
      <c r="AC117" s="6" t="s">
        <v>1157</v>
      </c>
      <c r="AD117" s="6" t="s">
        <v>1158</v>
      </c>
      <c r="AE117" s="6" t="s">
        <v>52</v>
      </c>
    </row>
    <row r="118" customFormat="false" ht="35.05" hidden="false" customHeight="false" outlineLevel="0" collapsed="false">
      <c r="A118" s="6" t="s">
        <v>1159</v>
      </c>
      <c r="B118" s="6" t="s">
        <v>1160</v>
      </c>
      <c r="C118" s="6" t="s">
        <v>1161</v>
      </c>
      <c r="D118" s="6" t="s">
        <v>1113</v>
      </c>
      <c r="E118" s="6" t="s">
        <v>1152</v>
      </c>
      <c r="F118" s="6" t="s">
        <v>24</v>
      </c>
      <c r="G118" s="6" t="s">
        <v>260</v>
      </c>
      <c r="H118" s="6" t="s">
        <v>28</v>
      </c>
      <c r="I118" s="6" t="s">
        <v>44</v>
      </c>
      <c r="J118" s="6" t="s">
        <v>49</v>
      </c>
      <c r="K118" s="6" t="s">
        <v>360</v>
      </c>
      <c r="L118" s="6" t="s">
        <v>1162</v>
      </c>
      <c r="M118" s="6" t="s">
        <v>49</v>
      </c>
      <c r="N118" s="6" t="s">
        <v>1163</v>
      </c>
      <c r="O118" s="6" t="s">
        <v>1155</v>
      </c>
      <c r="P118" s="6" t="s">
        <v>771</v>
      </c>
      <c r="Q118" s="6" t="s">
        <v>101</v>
      </c>
      <c r="R118" s="6" t="s">
        <v>230</v>
      </c>
      <c r="S118" s="6" t="s">
        <v>103</v>
      </c>
      <c r="T118" s="6" t="s">
        <v>1164</v>
      </c>
      <c r="U118" s="6"/>
      <c r="V118" s="6" t="s">
        <v>198</v>
      </c>
      <c r="W118" s="6" t="n">
        <v>103</v>
      </c>
      <c r="X118" s="6" t="s">
        <v>36</v>
      </c>
      <c r="Y118" s="6" t="s">
        <v>106</v>
      </c>
      <c r="Z118" s="6" t="s">
        <v>42</v>
      </c>
      <c r="AA118" s="6" t="s">
        <v>120</v>
      </c>
      <c r="AB118" s="6" t="s">
        <v>1165</v>
      </c>
      <c r="AC118" s="6" t="s">
        <v>1164</v>
      </c>
      <c r="AD118" s="6" t="s">
        <v>1166</v>
      </c>
      <c r="AE118" s="6" t="s">
        <v>52</v>
      </c>
    </row>
    <row r="119" customFormat="false" ht="35.05" hidden="false" customHeight="false" outlineLevel="0" collapsed="false">
      <c r="A119" s="6" t="s">
        <v>1167</v>
      </c>
      <c r="B119" s="6" t="s">
        <v>1168</v>
      </c>
      <c r="C119" s="6" t="s">
        <v>1169</v>
      </c>
      <c r="D119" s="6" t="s">
        <v>1113</v>
      </c>
      <c r="E119" s="6" t="s">
        <v>1152</v>
      </c>
      <c r="F119" s="6" t="s">
        <v>26</v>
      </c>
      <c r="G119" s="6" t="s">
        <v>141</v>
      </c>
      <c r="H119" s="6" t="s">
        <v>31</v>
      </c>
      <c r="I119" s="6" t="s">
        <v>45</v>
      </c>
      <c r="J119" s="6" t="s">
        <v>49</v>
      </c>
      <c r="K119" s="6" t="s">
        <v>96</v>
      </c>
      <c r="L119" s="6" t="s">
        <v>1170</v>
      </c>
      <c r="M119" s="6" t="s">
        <v>49</v>
      </c>
      <c r="N119" s="6" t="s">
        <v>1171</v>
      </c>
      <c r="O119" s="6" t="s">
        <v>1117</v>
      </c>
      <c r="P119" s="6" t="s">
        <v>1172</v>
      </c>
      <c r="Q119" s="6" t="s">
        <v>1129</v>
      </c>
      <c r="R119" s="6" t="s">
        <v>101</v>
      </c>
      <c r="S119" s="6" t="s">
        <v>347</v>
      </c>
      <c r="T119" s="6" t="s">
        <v>1110</v>
      </c>
      <c r="U119" s="6"/>
      <c r="V119" s="6" t="s">
        <v>594</v>
      </c>
      <c r="W119" s="6" t="n">
        <v>133</v>
      </c>
      <c r="X119" s="6" t="s">
        <v>37</v>
      </c>
      <c r="Y119" s="6" t="s">
        <v>106</v>
      </c>
      <c r="Z119" s="6" t="s">
        <v>42</v>
      </c>
      <c r="AA119" s="6" t="s">
        <v>728</v>
      </c>
      <c r="AB119" s="6" t="s">
        <v>1034</v>
      </c>
      <c r="AC119" s="6" t="s">
        <v>1123</v>
      </c>
      <c r="AD119" s="6" t="s">
        <v>1173</v>
      </c>
      <c r="AE119" s="6" t="s">
        <v>52</v>
      </c>
    </row>
    <row r="120" customFormat="false" ht="35.05" hidden="false" customHeight="false" outlineLevel="0" collapsed="false">
      <c r="A120" s="6" t="s">
        <v>1174</v>
      </c>
      <c r="B120" s="6" t="s">
        <v>1175</v>
      </c>
      <c r="C120" s="6" t="s">
        <v>1176</v>
      </c>
      <c r="D120" s="6" t="s">
        <v>1113</v>
      </c>
      <c r="E120" s="6" t="s">
        <v>1152</v>
      </c>
      <c r="F120" s="6" t="s">
        <v>25</v>
      </c>
      <c r="G120" s="6" t="s">
        <v>191</v>
      </c>
      <c r="H120" s="6" t="s">
        <v>31</v>
      </c>
      <c r="I120" s="6" t="s">
        <v>46</v>
      </c>
      <c r="J120" s="6" t="s">
        <v>50</v>
      </c>
      <c r="K120" s="6" t="s">
        <v>96</v>
      </c>
      <c r="L120" s="6" t="s">
        <v>1177</v>
      </c>
      <c r="M120" s="6" t="s">
        <v>50</v>
      </c>
      <c r="N120" s="6" t="s">
        <v>1178</v>
      </c>
      <c r="O120" s="6" t="s">
        <v>1117</v>
      </c>
      <c r="P120" s="6" t="s">
        <v>1179</v>
      </c>
      <c r="Q120" s="6" t="s">
        <v>1129</v>
      </c>
      <c r="R120" s="6" t="s">
        <v>101</v>
      </c>
      <c r="S120" s="6" t="s">
        <v>103</v>
      </c>
      <c r="T120" s="6" t="s">
        <v>1110</v>
      </c>
      <c r="U120" s="6"/>
      <c r="V120" s="6" t="s">
        <v>575</v>
      </c>
      <c r="W120" s="6" t="n">
        <v>141</v>
      </c>
      <c r="X120" s="6" t="s">
        <v>38</v>
      </c>
      <c r="Y120" s="6" t="s">
        <v>106</v>
      </c>
      <c r="Z120" s="6" t="s">
        <v>42</v>
      </c>
      <c r="AA120" s="6" t="s">
        <v>728</v>
      </c>
      <c r="AB120" s="6"/>
      <c r="AC120" s="6" t="s">
        <v>1167</v>
      </c>
      <c r="AD120" s="6" t="s">
        <v>1180</v>
      </c>
      <c r="AE120" s="6" t="s">
        <v>52</v>
      </c>
    </row>
    <row r="121" customFormat="false" ht="35.05" hidden="false" customHeight="false" outlineLevel="0" collapsed="false">
      <c r="A121" s="6" t="s">
        <v>1164</v>
      </c>
      <c r="B121" s="6" t="s">
        <v>1181</v>
      </c>
      <c r="C121" s="6" t="s">
        <v>1182</v>
      </c>
      <c r="D121" s="6" t="s">
        <v>1183</v>
      </c>
      <c r="E121" s="6" t="s">
        <v>1184</v>
      </c>
      <c r="F121" s="6" t="s">
        <v>25</v>
      </c>
      <c r="G121" s="6" t="s">
        <v>248</v>
      </c>
      <c r="H121" s="6" t="s">
        <v>28</v>
      </c>
      <c r="I121" s="6" t="s">
        <v>44</v>
      </c>
      <c r="J121" s="6" t="s">
        <v>48</v>
      </c>
      <c r="K121" s="6" t="s">
        <v>360</v>
      </c>
      <c r="L121" s="6" t="s">
        <v>1185</v>
      </c>
      <c r="M121" s="6" t="s">
        <v>48</v>
      </c>
      <c r="N121" s="6" t="s">
        <v>1186</v>
      </c>
      <c r="O121" s="6" t="s">
        <v>1187</v>
      </c>
      <c r="P121" s="6" t="s">
        <v>1188</v>
      </c>
      <c r="Q121" s="6" t="s">
        <v>101</v>
      </c>
      <c r="R121" s="6" t="s">
        <v>184</v>
      </c>
      <c r="S121" s="6" t="s">
        <v>103</v>
      </c>
      <c r="T121" s="6" t="s">
        <v>265</v>
      </c>
      <c r="U121" s="6" t="s">
        <v>1189</v>
      </c>
      <c r="V121" s="6" t="s">
        <v>198</v>
      </c>
      <c r="W121" s="6" t="n">
        <v>8</v>
      </c>
      <c r="X121" s="6" t="s">
        <v>33</v>
      </c>
      <c r="Y121" s="6" t="s">
        <v>793</v>
      </c>
      <c r="Z121" s="6" t="s">
        <v>42</v>
      </c>
      <c r="AA121" s="6" t="s">
        <v>1190</v>
      </c>
      <c r="AB121" s="6" t="s">
        <v>1165</v>
      </c>
      <c r="AC121" s="6" t="s">
        <v>1191</v>
      </c>
      <c r="AD121" s="6" t="s">
        <v>1192</v>
      </c>
      <c r="AE121" s="6" t="s">
        <v>52</v>
      </c>
    </row>
    <row r="122" customFormat="false" ht="35.05" hidden="false" customHeight="false" outlineLevel="0" collapsed="false">
      <c r="A122" s="6" t="s">
        <v>1193</v>
      </c>
      <c r="B122" s="6" t="s">
        <v>1194</v>
      </c>
      <c r="C122" s="6" t="s">
        <v>1195</v>
      </c>
      <c r="D122" s="6" t="s">
        <v>1183</v>
      </c>
      <c r="E122" s="6" t="s">
        <v>1184</v>
      </c>
      <c r="F122" s="6" t="s">
        <v>25</v>
      </c>
      <c r="G122" s="6" t="s">
        <v>191</v>
      </c>
      <c r="H122" s="6" t="s">
        <v>28</v>
      </c>
      <c r="I122" s="6" t="s">
        <v>44</v>
      </c>
      <c r="J122" s="6" t="s">
        <v>49</v>
      </c>
      <c r="K122" s="6" t="s">
        <v>96</v>
      </c>
      <c r="L122" s="6" t="s">
        <v>1196</v>
      </c>
      <c r="M122" s="6" t="s">
        <v>49</v>
      </c>
      <c r="N122" s="6" t="s">
        <v>1197</v>
      </c>
      <c r="O122" s="6" t="s">
        <v>1198</v>
      </c>
      <c r="P122" s="6" t="s">
        <v>1199</v>
      </c>
      <c r="Q122" s="6" t="s">
        <v>101</v>
      </c>
      <c r="R122" s="6" t="s">
        <v>230</v>
      </c>
      <c r="S122" s="6" t="s">
        <v>103</v>
      </c>
      <c r="T122" s="6" t="s">
        <v>1164</v>
      </c>
      <c r="U122" s="6" t="s">
        <v>1200</v>
      </c>
      <c r="V122" s="6" t="s">
        <v>305</v>
      </c>
      <c r="W122" s="6" t="n">
        <v>105</v>
      </c>
      <c r="X122" s="6" t="s">
        <v>36</v>
      </c>
      <c r="Y122" s="6" t="s">
        <v>106</v>
      </c>
      <c r="Z122" s="6" t="s">
        <v>42</v>
      </c>
      <c r="AA122" s="6" t="s">
        <v>1201</v>
      </c>
      <c r="AB122" s="6" t="s">
        <v>1165</v>
      </c>
      <c r="AC122" s="6" t="s">
        <v>1202</v>
      </c>
      <c r="AD122" s="6" t="s">
        <v>1203</v>
      </c>
      <c r="AE122" s="6" t="s">
        <v>52</v>
      </c>
    </row>
    <row r="123" customFormat="false" ht="35.05" hidden="false" customHeight="false" outlineLevel="0" collapsed="false">
      <c r="A123" s="6" t="s">
        <v>1204</v>
      </c>
      <c r="B123" s="6" t="s">
        <v>1205</v>
      </c>
      <c r="C123" s="6" t="s">
        <v>1206</v>
      </c>
      <c r="D123" s="6" t="s">
        <v>1183</v>
      </c>
      <c r="E123" s="6" t="s">
        <v>1184</v>
      </c>
      <c r="F123" s="6" t="s">
        <v>25</v>
      </c>
      <c r="G123" s="6" t="s">
        <v>1207</v>
      </c>
      <c r="H123" s="6" t="s">
        <v>28</v>
      </c>
      <c r="I123" s="6" t="s">
        <v>44</v>
      </c>
      <c r="J123" s="6" t="s">
        <v>49</v>
      </c>
      <c r="K123" s="6" t="s">
        <v>96</v>
      </c>
      <c r="L123" s="6" t="s">
        <v>1208</v>
      </c>
      <c r="M123" s="6" t="s">
        <v>49</v>
      </c>
      <c r="N123" s="6" t="s">
        <v>1209</v>
      </c>
      <c r="O123" s="6" t="s">
        <v>1198</v>
      </c>
      <c r="P123" s="6" t="s">
        <v>1199</v>
      </c>
      <c r="Q123" s="6" t="s">
        <v>101</v>
      </c>
      <c r="R123" s="6" t="s">
        <v>230</v>
      </c>
      <c r="S123" s="6" t="s">
        <v>103</v>
      </c>
      <c r="T123" s="6" t="s">
        <v>1193</v>
      </c>
      <c r="U123" s="6"/>
      <c r="V123" s="6" t="s">
        <v>1210</v>
      </c>
      <c r="W123" s="6" t="n">
        <v>34</v>
      </c>
      <c r="X123" s="6" t="s">
        <v>34</v>
      </c>
      <c r="Y123" s="6" t="s">
        <v>793</v>
      </c>
      <c r="Z123" s="6" t="s">
        <v>42</v>
      </c>
      <c r="AA123" s="6" t="s">
        <v>1190</v>
      </c>
      <c r="AB123" s="6" t="s">
        <v>1211</v>
      </c>
      <c r="AC123" s="6" t="s">
        <v>1212</v>
      </c>
      <c r="AD123" s="6" t="s">
        <v>1213</v>
      </c>
      <c r="AE123" s="6" t="s">
        <v>52</v>
      </c>
    </row>
    <row r="124" customFormat="false" ht="35.05" hidden="false" customHeight="false" outlineLevel="0" collapsed="false">
      <c r="A124" s="6" t="s">
        <v>1214</v>
      </c>
      <c r="B124" s="6" t="s">
        <v>1215</v>
      </c>
      <c r="C124" s="6" t="s">
        <v>1216</v>
      </c>
      <c r="D124" s="6" t="s">
        <v>1183</v>
      </c>
      <c r="E124" s="6" t="s">
        <v>1184</v>
      </c>
      <c r="F124" s="6" t="s">
        <v>25</v>
      </c>
      <c r="G124" s="6" t="s">
        <v>1207</v>
      </c>
      <c r="H124" s="6" t="s">
        <v>28</v>
      </c>
      <c r="I124" s="6" t="s">
        <v>45</v>
      </c>
      <c r="J124" s="6" t="s">
        <v>49</v>
      </c>
      <c r="K124" s="6" t="s">
        <v>96</v>
      </c>
      <c r="L124" s="6" t="s">
        <v>1217</v>
      </c>
      <c r="M124" s="6" t="s">
        <v>49</v>
      </c>
      <c r="N124" s="6" t="s">
        <v>1218</v>
      </c>
      <c r="O124" s="6" t="s">
        <v>1198</v>
      </c>
      <c r="P124" s="6" t="s">
        <v>1199</v>
      </c>
      <c r="Q124" s="6" t="s">
        <v>101</v>
      </c>
      <c r="R124" s="6" t="s">
        <v>230</v>
      </c>
      <c r="S124" s="6" t="s">
        <v>103</v>
      </c>
      <c r="T124" s="6" t="s">
        <v>1193</v>
      </c>
      <c r="U124" s="6"/>
      <c r="V124" s="6" t="s">
        <v>305</v>
      </c>
      <c r="W124" s="6" t="n">
        <v>106</v>
      </c>
      <c r="X124" s="6" t="s">
        <v>36</v>
      </c>
      <c r="Y124" s="6" t="s">
        <v>106</v>
      </c>
      <c r="Z124" s="6" t="s">
        <v>42</v>
      </c>
      <c r="AA124" s="6" t="s">
        <v>1201</v>
      </c>
      <c r="AB124" s="6" t="s">
        <v>1165</v>
      </c>
      <c r="AC124" s="6" t="s">
        <v>1193</v>
      </c>
      <c r="AD124" s="6" t="s">
        <v>1219</v>
      </c>
      <c r="AE124" s="6" t="s">
        <v>52</v>
      </c>
    </row>
    <row r="125" customFormat="false" ht="23.85" hidden="false" customHeight="false" outlineLevel="0" collapsed="false">
      <c r="A125" s="6" t="s">
        <v>1220</v>
      </c>
      <c r="B125" s="6" t="s">
        <v>1221</v>
      </c>
      <c r="C125" s="6" t="s">
        <v>1222</v>
      </c>
      <c r="D125" s="6" t="s">
        <v>1183</v>
      </c>
      <c r="E125" s="6" t="s">
        <v>1184</v>
      </c>
      <c r="F125" s="6" t="s">
        <v>25</v>
      </c>
      <c r="G125" s="6" t="s">
        <v>1207</v>
      </c>
      <c r="H125" s="6" t="s">
        <v>28</v>
      </c>
      <c r="I125" s="6" t="s">
        <v>44</v>
      </c>
      <c r="J125" s="6" t="s">
        <v>49</v>
      </c>
      <c r="K125" s="6" t="s">
        <v>372</v>
      </c>
      <c r="L125" s="6" t="s">
        <v>1223</v>
      </c>
      <c r="M125" s="6" t="s">
        <v>49</v>
      </c>
      <c r="N125" s="6" t="s">
        <v>1224</v>
      </c>
      <c r="O125" s="6" t="s">
        <v>1225</v>
      </c>
      <c r="P125" s="6" t="s">
        <v>1226</v>
      </c>
      <c r="Q125" s="6" t="s">
        <v>376</v>
      </c>
      <c r="R125" s="6" t="s">
        <v>230</v>
      </c>
      <c r="S125" s="6" t="s">
        <v>103</v>
      </c>
      <c r="T125" s="6" t="s">
        <v>1227</v>
      </c>
      <c r="U125" s="6"/>
      <c r="V125" s="6" t="s">
        <v>407</v>
      </c>
      <c r="W125" s="6" t="n">
        <v>107</v>
      </c>
      <c r="X125" s="6" t="s">
        <v>36</v>
      </c>
      <c r="Y125" s="6" t="s">
        <v>106</v>
      </c>
      <c r="Z125" s="6" t="s">
        <v>41</v>
      </c>
      <c r="AA125" s="6" t="s">
        <v>1228</v>
      </c>
      <c r="AB125" s="6" t="s">
        <v>1165</v>
      </c>
      <c r="AC125" s="6" t="s">
        <v>1227</v>
      </c>
      <c r="AD125" s="6" t="s">
        <v>1229</v>
      </c>
      <c r="AE125" s="6" t="s">
        <v>52</v>
      </c>
    </row>
    <row r="126" customFormat="false" ht="35.05" hidden="false" customHeight="false" outlineLevel="0" collapsed="false">
      <c r="A126" s="6" t="s">
        <v>1230</v>
      </c>
      <c r="B126" s="6" t="s">
        <v>1231</v>
      </c>
      <c r="C126" s="6" t="s">
        <v>1232</v>
      </c>
      <c r="D126" s="6" t="s">
        <v>1183</v>
      </c>
      <c r="E126" s="6" t="s">
        <v>1184</v>
      </c>
      <c r="F126" s="6" t="s">
        <v>25</v>
      </c>
      <c r="G126" s="6" t="s">
        <v>1207</v>
      </c>
      <c r="H126" s="6" t="s">
        <v>28</v>
      </c>
      <c r="I126" s="6" t="s">
        <v>46</v>
      </c>
      <c r="J126" s="6" t="s">
        <v>49</v>
      </c>
      <c r="K126" s="6" t="s">
        <v>96</v>
      </c>
      <c r="L126" s="6" t="s">
        <v>1217</v>
      </c>
      <c r="M126" s="6" t="s">
        <v>49</v>
      </c>
      <c r="N126" s="6" t="s">
        <v>1233</v>
      </c>
      <c r="O126" s="6" t="s">
        <v>1198</v>
      </c>
      <c r="P126" s="6" t="s">
        <v>1199</v>
      </c>
      <c r="Q126" s="6" t="s">
        <v>101</v>
      </c>
      <c r="R126" s="6" t="s">
        <v>230</v>
      </c>
      <c r="S126" s="6" t="s">
        <v>103</v>
      </c>
      <c r="T126" s="6" t="s">
        <v>1193</v>
      </c>
      <c r="U126" s="6"/>
      <c r="V126" s="6" t="s">
        <v>305</v>
      </c>
      <c r="W126" s="6" t="n">
        <v>108</v>
      </c>
      <c r="X126" s="6" t="s">
        <v>36</v>
      </c>
      <c r="Y126" s="6" t="s">
        <v>106</v>
      </c>
      <c r="Z126" s="6" t="s">
        <v>42</v>
      </c>
      <c r="AA126" s="6" t="s">
        <v>1201</v>
      </c>
      <c r="AB126" s="6" t="s">
        <v>1165</v>
      </c>
      <c r="AC126" s="6" t="s">
        <v>1193</v>
      </c>
      <c r="AD126" s="6" t="s">
        <v>1234</v>
      </c>
      <c r="AE126" s="6" t="s">
        <v>52</v>
      </c>
    </row>
    <row r="127" customFormat="false" ht="35.05" hidden="false" customHeight="false" outlineLevel="0" collapsed="false">
      <c r="A127" s="6" t="s">
        <v>1235</v>
      </c>
      <c r="B127" s="6" t="s">
        <v>1236</v>
      </c>
      <c r="C127" s="6" t="s">
        <v>1237</v>
      </c>
      <c r="D127" s="6" t="s">
        <v>1183</v>
      </c>
      <c r="E127" s="6" t="s">
        <v>1184</v>
      </c>
      <c r="F127" s="6" t="s">
        <v>26</v>
      </c>
      <c r="G127" s="6" t="s">
        <v>204</v>
      </c>
      <c r="H127" s="6" t="s">
        <v>29</v>
      </c>
      <c r="I127" s="6" t="s">
        <v>44</v>
      </c>
      <c r="J127" s="6" t="s">
        <v>49</v>
      </c>
      <c r="K127" s="6" t="s">
        <v>96</v>
      </c>
      <c r="L127" s="6" t="s">
        <v>1238</v>
      </c>
      <c r="M127" s="6" t="s">
        <v>49</v>
      </c>
      <c r="N127" s="6" t="s">
        <v>1239</v>
      </c>
      <c r="O127" s="6" t="s">
        <v>1240</v>
      </c>
      <c r="P127" s="6" t="s">
        <v>1241</v>
      </c>
      <c r="Q127" s="6" t="s">
        <v>101</v>
      </c>
      <c r="R127" s="6" t="s">
        <v>101</v>
      </c>
      <c r="S127" s="6" t="s">
        <v>103</v>
      </c>
      <c r="T127" s="6" t="s">
        <v>1193</v>
      </c>
      <c r="U127" s="6"/>
      <c r="V127" s="6" t="s">
        <v>210</v>
      </c>
      <c r="W127" s="6" t="n">
        <v>9</v>
      </c>
      <c r="X127" s="6" t="s">
        <v>33</v>
      </c>
      <c r="Y127" s="6" t="s">
        <v>793</v>
      </c>
      <c r="Z127" s="6" t="s">
        <v>40</v>
      </c>
      <c r="AA127" s="6" t="s">
        <v>160</v>
      </c>
      <c r="AB127" s="6"/>
      <c r="AC127" s="6" t="s">
        <v>1164</v>
      </c>
      <c r="AD127" s="6" t="s">
        <v>1242</v>
      </c>
      <c r="AE127" s="6" t="s">
        <v>52</v>
      </c>
    </row>
    <row r="128" customFormat="false" ht="35.05" hidden="false" customHeight="false" outlineLevel="0" collapsed="false">
      <c r="A128" s="6" t="s">
        <v>1243</v>
      </c>
      <c r="B128" s="6" t="s">
        <v>1244</v>
      </c>
      <c r="C128" s="6" t="s">
        <v>1245</v>
      </c>
      <c r="D128" s="6" t="s">
        <v>1183</v>
      </c>
      <c r="E128" s="6" t="s">
        <v>1184</v>
      </c>
      <c r="F128" s="6" t="s">
        <v>26</v>
      </c>
      <c r="G128" s="6" t="s">
        <v>141</v>
      </c>
      <c r="H128" s="6" t="s">
        <v>28</v>
      </c>
      <c r="I128" s="6" t="s">
        <v>44</v>
      </c>
      <c r="J128" s="6" t="s">
        <v>49</v>
      </c>
      <c r="K128" s="6" t="s">
        <v>96</v>
      </c>
      <c r="L128" s="6" t="s">
        <v>1246</v>
      </c>
      <c r="M128" s="6" t="s">
        <v>49</v>
      </c>
      <c r="N128" s="6" t="s">
        <v>1247</v>
      </c>
      <c r="O128" s="6" t="s">
        <v>1248</v>
      </c>
      <c r="P128" s="6" t="s">
        <v>1249</v>
      </c>
      <c r="Q128" s="6" t="s">
        <v>101</v>
      </c>
      <c r="R128" s="6" t="s">
        <v>230</v>
      </c>
      <c r="S128" s="6" t="s">
        <v>908</v>
      </c>
      <c r="T128" s="6" t="s">
        <v>1193</v>
      </c>
      <c r="U128" s="6"/>
      <c r="V128" s="6" t="s">
        <v>210</v>
      </c>
      <c r="W128" s="6" t="n">
        <v>10</v>
      </c>
      <c r="X128" s="6" t="s">
        <v>33</v>
      </c>
      <c r="Y128" s="6" t="s">
        <v>793</v>
      </c>
      <c r="Z128" s="6" t="s">
        <v>40</v>
      </c>
      <c r="AA128" s="6" t="s">
        <v>160</v>
      </c>
      <c r="AB128" s="6"/>
      <c r="AC128" s="6" t="s">
        <v>1164</v>
      </c>
      <c r="AD128" s="6" t="s">
        <v>1250</v>
      </c>
      <c r="AE128" s="6" t="s">
        <v>52</v>
      </c>
    </row>
    <row r="129" customFormat="false" ht="35.05" hidden="false" customHeight="false" outlineLevel="0" collapsed="false">
      <c r="A129" s="6" t="s">
        <v>1191</v>
      </c>
      <c r="B129" s="6" t="s">
        <v>1251</v>
      </c>
      <c r="C129" s="6" t="s">
        <v>1252</v>
      </c>
      <c r="D129" s="6" t="s">
        <v>1183</v>
      </c>
      <c r="E129" s="6" t="s">
        <v>1184</v>
      </c>
      <c r="F129" s="6" t="s">
        <v>26</v>
      </c>
      <c r="G129" s="6" t="s">
        <v>141</v>
      </c>
      <c r="H129" s="6" t="s">
        <v>28</v>
      </c>
      <c r="I129" s="6" t="s">
        <v>44</v>
      </c>
      <c r="J129" s="6" t="s">
        <v>48</v>
      </c>
      <c r="K129" s="6" t="s">
        <v>360</v>
      </c>
      <c r="L129" s="6" t="s">
        <v>1253</v>
      </c>
      <c r="M129" s="6" t="s">
        <v>48</v>
      </c>
      <c r="N129" s="6" t="s">
        <v>1254</v>
      </c>
      <c r="O129" s="6" t="s">
        <v>1255</v>
      </c>
      <c r="P129" s="6" t="s">
        <v>1256</v>
      </c>
      <c r="Q129" s="6" t="s">
        <v>101</v>
      </c>
      <c r="R129" s="6" t="s">
        <v>230</v>
      </c>
      <c r="S129" s="6" t="s">
        <v>347</v>
      </c>
      <c r="T129" s="6" t="s">
        <v>1164</v>
      </c>
      <c r="U129" s="6"/>
      <c r="V129" s="6" t="s">
        <v>232</v>
      </c>
      <c r="W129" s="6" t="n">
        <v>7</v>
      </c>
      <c r="X129" s="6" t="s">
        <v>33</v>
      </c>
      <c r="Y129" s="6" t="s">
        <v>793</v>
      </c>
      <c r="Z129" s="6" t="s">
        <v>40</v>
      </c>
      <c r="AA129" s="6" t="s">
        <v>160</v>
      </c>
      <c r="AB129" s="6"/>
      <c r="AC129" s="6"/>
      <c r="AD129" s="6" t="s">
        <v>1257</v>
      </c>
      <c r="AE129" s="6" t="s">
        <v>52</v>
      </c>
    </row>
    <row r="130" customFormat="false" ht="35.05" hidden="false" customHeight="false" outlineLevel="0" collapsed="false">
      <c r="A130" s="6" t="s">
        <v>1258</v>
      </c>
      <c r="B130" s="6" t="s">
        <v>1259</v>
      </c>
      <c r="C130" s="6" t="s">
        <v>1260</v>
      </c>
      <c r="D130" s="6" t="s">
        <v>1183</v>
      </c>
      <c r="E130" s="6" t="s">
        <v>1261</v>
      </c>
      <c r="F130" s="6" t="s">
        <v>25</v>
      </c>
      <c r="G130" s="6" t="s">
        <v>191</v>
      </c>
      <c r="H130" s="6" t="s">
        <v>28</v>
      </c>
      <c r="I130" s="6" t="s">
        <v>45</v>
      </c>
      <c r="J130" s="6" t="s">
        <v>49</v>
      </c>
      <c r="K130" s="6" t="s">
        <v>96</v>
      </c>
      <c r="L130" s="6" t="s">
        <v>1262</v>
      </c>
      <c r="M130" s="6" t="s">
        <v>49</v>
      </c>
      <c r="N130" s="6" t="s">
        <v>1263</v>
      </c>
      <c r="O130" s="6" t="s">
        <v>1264</v>
      </c>
      <c r="P130" s="6" t="s">
        <v>1265</v>
      </c>
      <c r="Q130" s="6" t="s">
        <v>101</v>
      </c>
      <c r="R130" s="6" t="s">
        <v>230</v>
      </c>
      <c r="S130" s="6" t="s">
        <v>103</v>
      </c>
      <c r="T130" s="6" t="s">
        <v>1164</v>
      </c>
      <c r="U130" s="6" t="s">
        <v>1266</v>
      </c>
      <c r="V130" s="6" t="s">
        <v>305</v>
      </c>
      <c r="W130" s="6" t="n">
        <v>109</v>
      </c>
      <c r="X130" s="6" t="s">
        <v>36</v>
      </c>
      <c r="Y130" s="6" t="s">
        <v>106</v>
      </c>
      <c r="Z130" s="6" t="s">
        <v>42</v>
      </c>
      <c r="AA130" s="6" t="s">
        <v>1190</v>
      </c>
      <c r="AB130" s="6" t="s">
        <v>1165</v>
      </c>
      <c r="AC130" s="6" t="s">
        <v>1164</v>
      </c>
      <c r="AD130" s="6" t="s">
        <v>1267</v>
      </c>
      <c r="AE130" s="6" t="s">
        <v>52</v>
      </c>
    </row>
    <row r="131" customFormat="false" ht="35.05" hidden="false" customHeight="false" outlineLevel="0" collapsed="false">
      <c r="A131" s="6" t="s">
        <v>1266</v>
      </c>
      <c r="B131" s="6" t="s">
        <v>1268</v>
      </c>
      <c r="C131" s="6" t="s">
        <v>1269</v>
      </c>
      <c r="D131" s="6" t="s">
        <v>1183</v>
      </c>
      <c r="E131" s="6" t="s">
        <v>1261</v>
      </c>
      <c r="F131" s="6" t="s">
        <v>26</v>
      </c>
      <c r="G131" s="6" t="s">
        <v>204</v>
      </c>
      <c r="H131" s="6" t="s">
        <v>28</v>
      </c>
      <c r="I131" s="6" t="s">
        <v>45</v>
      </c>
      <c r="J131" s="6" t="s">
        <v>49</v>
      </c>
      <c r="K131" s="6" t="s">
        <v>96</v>
      </c>
      <c r="L131" s="6" t="s">
        <v>1262</v>
      </c>
      <c r="M131" s="6" t="s">
        <v>49</v>
      </c>
      <c r="N131" s="6" t="s">
        <v>1270</v>
      </c>
      <c r="O131" s="6" t="s">
        <v>1264</v>
      </c>
      <c r="P131" s="6" t="s">
        <v>1271</v>
      </c>
      <c r="Q131" s="6" t="s">
        <v>101</v>
      </c>
      <c r="R131" s="6" t="s">
        <v>101</v>
      </c>
      <c r="S131" s="6" t="s">
        <v>103</v>
      </c>
      <c r="T131" s="6" t="s">
        <v>1258</v>
      </c>
      <c r="U131" s="6"/>
      <c r="V131" s="6" t="s">
        <v>210</v>
      </c>
      <c r="W131" s="6" t="n">
        <v>110</v>
      </c>
      <c r="X131" s="6" t="s">
        <v>36</v>
      </c>
      <c r="Y131" s="6" t="s">
        <v>106</v>
      </c>
      <c r="Z131" s="6" t="s">
        <v>42</v>
      </c>
      <c r="AA131" s="6" t="s">
        <v>1190</v>
      </c>
      <c r="AB131" s="6"/>
      <c r="AC131" s="6" t="s">
        <v>1258</v>
      </c>
      <c r="AD131" s="6" t="s">
        <v>1272</v>
      </c>
      <c r="AE131" s="6" t="s">
        <v>52</v>
      </c>
    </row>
    <row r="132" customFormat="false" ht="35.05" hidden="false" customHeight="false" outlineLevel="0" collapsed="false">
      <c r="A132" s="6" t="s">
        <v>1273</v>
      </c>
      <c r="B132" s="6" t="s">
        <v>1274</v>
      </c>
      <c r="C132" s="6" t="s">
        <v>1275</v>
      </c>
      <c r="D132" s="6" t="s">
        <v>1183</v>
      </c>
      <c r="E132" s="6" t="s">
        <v>1261</v>
      </c>
      <c r="F132" s="6" t="s">
        <v>26</v>
      </c>
      <c r="G132" s="6" t="s">
        <v>236</v>
      </c>
      <c r="H132" s="6" t="s">
        <v>28</v>
      </c>
      <c r="I132" s="6" t="s">
        <v>45</v>
      </c>
      <c r="J132" s="6" t="s">
        <v>49</v>
      </c>
      <c r="K132" s="6" t="s">
        <v>96</v>
      </c>
      <c r="L132" s="6" t="s">
        <v>1276</v>
      </c>
      <c r="M132" s="6" t="s">
        <v>49</v>
      </c>
      <c r="N132" s="6" t="s">
        <v>1277</v>
      </c>
      <c r="O132" s="6" t="s">
        <v>1278</v>
      </c>
      <c r="P132" s="6" t="s">
        <v>1226</v>
      </c>
      <c r="Q132" s="6" t="s">
        <v>101</v>
      </c>
      <c r="R132" s="6" t="s">
        <v>230</v>
      </c>
      <c r="S132" s="6" t="s">
        <v>103</v>
      </c>
      <c r="T132" s="6" t="s">
        <v>1193</v>
      </c>
      <c r="U132" s="6"/>
      <c r="V132" s="6" t="s">
        <v>210</v>
      </c>
      <c r="W132" s="6" t="n">
        <v>111</v>
      </c>
      <c r="X132" s="6" t="s">
        <v>36</v>
      </c>
      <c r="Y132" s="6" t="s">
        <v>106</v>
      </c>
      <c r="Z132" s="6" t="s">
        <v>41</v>
      </c>
      <c r="AA132" s="6" t="s">
        <v>1279</v>
      </c>
      <c r="AB132" s="6"/>
      <c r="AC132" s="6" t="s">
        <v>1193</v>
      </c>
      <c r="AD132" s="6" t="s">
        <v>1280</v>
      </c>
      <c r="AE132" s="6" t="s">
        <v>52</v>
      </c>
    </row>
    <row r="133" customFormat="false" ht="35.05" hidden="false" customHeight="false" outlineLevel="0" collapsed="false">
      <c r="A133" s="6" t="s">
        <v>1281</v>
      </c>
      <c r="B133" s="6" t="s">
        <v>1282</v>
      </c>
      <c r="C133" s="6" t="s">
        <v>1283</v>
      </c>
      <c r="D133" s="6" t="s">
        <v>1183</v>
      </c>
      <c r="E133" s="6" t="s">
        <v>1284</v>
      </c>
      <c r="F133" s="6" t="s">
        <v>25</v>
      </c>
      <c r="G133" s="6" t="s">
        <v>191</v>
      </c>
      <c r="H133" s="6" t="s">
        <v>28</v>
      </c>
      <c r="I133" s="6" t="s">
        <v>44</v>
      </c>
      <c r="J133" s="6" t="s">
        <v>49</v>
      </c>
      <c r="K133" s="6" t="s">
        <v>1285</v>
      </c>
      <c r="L133" s="6" t="s">
        <v>1286</v>
      </c>
      <c r="M133" s="6" t="s">
        <v>633</v>
      </c>
      <c r="N133" s="6" t="s">
        <v>1287</v>
      </c>
      <c r="O133" s="6" t="s">
        <v>1288</v>
      </c>
      <c r="P133" s="6" t="s">
        <v>1256</v>
      </c>
      <c r="Q133" s="6" t="s">
        <v>101</v>
      </c>
      <c r="R133" s="6" t="s">
        <v>184</v>
      </c>
      <c r="S133" s="6" t="s">
        <v>103</v>
      </c>
      <c r="T133" s="6" t="s">
        <v>1164</v>
      </c>
      <c r="U133" s="6" t="s">
        <v>1289</v>
      </c>
      <c r="V133" s="6" t="s">
        <v>407</v>
      </c>
      <c r="W133" s="6" t="n">
        <v>112</v>
      </c>
      <c r="X133" s="6" t="s">
        <v>36</v>
      </c>
      <c r="Y133" s="6" t="s">
        <v>106</v>
      </c>
      <c r="Z133" s="6" t="s">
        <v>42</v>
      </c>
      <c r="AA133" s="6" t="s">
        <v>150</v>
      </c>
      <c r="AB133" s="6" t="s">
        <v>1290</v>
      </c>
      <c r="AC133" s="6" t="s">
        <v>1291</v>
      </c>
      <c r="AD133" s="6" t="s">
        <v>1292</v>
      </c>
      <c r="AE133" s="6" t="s">
        <v>52</v>
      </c>
    </row>
    <row r="134" customFormat="false" ht="35.05" hidden="false" customHeight="false" outlineLevel="0" collapsed="false">
      <c r="A134" s="6" t="s">
        <v>1289</v>
      </c>
      <c r="B134" s="6" t="s">
        <v>1293</v>
      </c>
      <c r="C134" s="6" t="s">
        <v>1294</v>
      </c>
      <c r="D134" s="6" t="s">
        <v>1183</v>
      </c>
      <c r="E134" s="6" t="s">
        <v>1284</v>
      </c>
      <c r="F134" s="6" t="s">
        <v>26</v>
      </c>
      <c r="G134" s="6" t="s">
        <v>236</v>
      </c>
      <c r="H134" s="6" t="s">
        <v>28</v>
      </c>
      <c r="I134" s="6" t="s">
        <v>45</v>
      </c>
      <c r="J134" s="6" t="s">
        <v>49</v>
      </c>
      <c r="K134" s="6" t="s">
        <v>1285</v>
      </c>
      <c r="L134" s="6" t="s">
        <v>1295</v>
      </c>
      <c r="M134" s="6" t="s">
        <v>49</v>
      </c>
      <c r="N134" s="6" t="s">
        <v>1287</v>
      </c>
      <c r="O134" s="6" t="s">
        <v>1296</v>
      </c>
      <c r="P134" s="6" t="s">
        <v>1241</v>
      </c>
      <c r="Q134" s="6" t="s">
        <v>376</v>
      </c>
      <c r="R134" s="6" t="s">
        <v>146</v>
      </c>
      <c r="S134" s="6" t="s">
        <v>103</v>
      </c>
      <c r="T134" s="6" t="s">
        <v>1281</v>
      </c>
      <c r="U134" s="6"/>
      <c r="V134" s="6" t="s">
        <v>389</v>
      </c>
      <c r="W134" s="6" t="n">
        <v>113</v>
      </c>
      <c r="X134" s="6" t="s">
        <v>36</v>
      </c>
      <c r="Y134" s="6" t="s">
        <v>106</v>
      </c>
      <c r="Z134" s="6" t="s">
        <v>41</v>
      </c>
      <c r="AA134" s="6" t="s">
        <v>434</v>
      </c>
      <c r="AB134" s="6"/>
      <c r="AC134" s="6" t="s">
        <v>1281</v>
      </c>
      <c r="AD134" s="6" t="s">
        <v>1297</v>
      </c>
      <c r="AE134" s="6" t="s">
        <v>52</v>
      </c>
    </row>
    <row r="135" customFormat="false" ht="35.05" hidden="false" customHeight="false" outlineLevel="0" collapsed="false">
      <c r="A135" s="6" t="s">
        <v>638</v>
      </c>
      <c r="B135" s="6" t="s">
        <v>1298</v>
      </c>
      <c r="C135" s="6" t="s">
        <v>1299</v>
      </c>
      <c r="D135" s="6" t="s">
        <v>1300</v>
      </c>
      <c r="E135" s="6" t="s">
        <v>1301</v>
      </c>
      <c r="F135" s="6" t="s">
        <v>23</v>
      </c>
      <c r="G135" s="6" t="s">
        <v>179</v>
      </c>
      <c r="H135" s="6" t="s">
        <v>28</v>
      </c>
      <c r="I135" s="6" t="s">
        <v>45</v>
      </c>
      <c r="J135" s="6" t="s">
        <v>49</v>
      </c>
      <c r="K135" s="6" t="s">
        <v>360</v>
      </c>
      <c r="L135" s="6" t="s">
        <v>1302</v>
      </c>
      <c r="M135" s="6" t="s">
        <v>49</v>
      </c>
      <c r="N135" s="6" t="s">
        <v>1303</v>
      </c>
      <c r="O135" s="6" t="s">
        <v>635</v>
      </c>
      <c r="P135" s="6" t="s">
        <v>1304</v>
      </c>
      <c r="Q135" s="6" t="s">
        <v>637</v>
      </c>
      <c r="R135" s="6" t="s">
        <v>184</v>
      </c>
      <c r="S135" s="6" t="s">
        <v>103</v>
      </c>
      <c r="T135" s="6" t="s">
        <v>90</v>
      </c>
      <c r="U135" s="6" t="s">
        <v>1305</v>
      </c>
      <c r="V135" s="6" t="s">
        <v>1306</v>
      </c>
      <c r="W135" s="6" t="n">
        <v>49</v>
      </c>
      <c r="X135" s="6" t="s">
        <v>35</v>
      </c>
      <c r="Y135" s="6" t="s">
        <v>106</v>
      </c>
      <c r="Z135" s="6" t="s">
        <v>41</v>
      </c>
      <c r="AA135" s="6" t="s">
        <v>1279</v>
      </c>
      <c r="AB135" s="6" t="s">
        <v>187</v>
      </c>
      <c r="AC135" s="6" t="s">
        <v>1307</v>
      </c>
      <c r="AD135" s="6" t="s">
        <v>1308</v>
      </c>
      <c r="AE135" s="6" t="s">
        <v>52</v>
      </c>
    </row>
    <row r="136" customFormat="false" ht="35.05" hidden="false" customHeight="false" outlineLevel="0" collapsed="false">
      <c r="A136" s="6" t="s">
        <v>1309</v>
      </c>
      <c r="B136" s="6" t="s">
        <v>1310</v>
      </c>
      <c r="C136" s="6" t="s">
        <v>1311</v>
      </c>
      <c r="D136" s="6" t="s">
        <v>1300</v>
      </c>
      <c r="E136" s="6" t="s">
        <v>1301</v>
      </c>
      <c r="F136" s="6" t="s">
        <v>25</v>
      </c>
      <c r="G136" s="6" t="s">
        <v>248</v>
      </c>
      <c r="H136" s="6" t="s">
        <v>28</v>
      </c>
      <c r="I136" s="6" t="s">
        <v>44</v>
      </c>
      <c r="J136" s="6" t="s">
        <v>48</v>
      </c>
      <c r="K136" s="6" t="s">
        <v>360</v>
      </c>
      <c r="L136" s="6" t="s">
        <v>1312</v>
      </c>
      <c r="M136" s="6" t="s">
        <v>48</v>
      </c>
      <c r="N136" s="6" t="s">
        <v>1313</v>
      </c>
      <c r="O136" s="6" t="s">
        <v>635</v>
      </c>
      <c r="P136" s="6" t="s">
        <v>1314</v>
      </c>
      <c r="Q136" s="6" t="s">
        <v>637</v>
      </c>
      <c r="R136" s="6" t="s">
        <v>184</v>
      </c>
      <c r="S136" s="6" t="s">
        <v>103</v>
      </c>
      <c r="T136" s="6" t="s">
        <v>638</v>
      </c>
      <c r="U136" s="6" t="s">
        <v>1315</v>
      </c>
      <c r="V136" s="6" t="s">
        <v>761</v>
      </c>
      <c r="W136" s="6" t="n">
        <v>114</v>
      </c>
      <c r="X136" s="6" t="s">
        <v>36</v>
      </c>
      <c r="Y136" s="6" t="s">
        <v>106</v>
      </c>
      <c r="Z136" s="6" t="s">
        <v>42</v>
      </c>
      <c r="AA136" s="6" t="s">
        <v>173</v>
      </c>
      <c r="AB136" s="6" t="s">
        <v>640</v>
      </c>
      <c r="AC136" s="6" t="s">
        <v>629</v>
      </c>
      <c r="AD136" s="6" t="s">
        <v>1316</v>
      </c>
      <c r="AE136" s="6" t="s">
        <v>52</v>
      </c>
    </row>
    <row r="137" customFormat="false" ht="23.85" hidden="false" customHeight="false" outlineLevel="0" collapsed="false">
      <c r="A137" s="6" t="s">
        <v>1317</v>
      </c>
      <c r="B137" s="6" t="s">
        <v>1318</v>
      </c>
      <c r="C137" s="6" t="s">
        <v>1319</v>
      </c>
      <c r="D137" s="6" t="s">
        <v>1300</v>
      </c>
      <c r="E137" s="6" t="s">
        <v>1301</v>
      </c>
      <c r="F137" s="6" t="s">
        <v>25</v>
      </c>
      <c r="G137" s="6" t="s">
        <v>248</v>
      </c>
      <c r="H137" s="6" t="s">
        <v>28</v>
      </c>
      <c r="I137" s="6" t="s">
        <v>44</v>
      </c>
      <c r="J137" s="6" t="s">
        <v>49</v>
      </c>
      <c r="K137" s="6" t="s">
        <v>360</v>
      </c>
      <c r="L137" s="6" t="s">
        <v>1320</v>
      </c>
      <c r="M137" s="6" t="s">
        <v>633</v>
      </c>
      <c r="N137" s="6" t="s">
        <v>1321</v>
      </c>
      <c r="O137" s="6" t="s">
        <v>1322</v>
      </c>
      <c r="P137" s="6" t="s">
        <v>1323</v>
      </c>
      <c r="Q137" s="6" t="s">
        <v>573</v>
      </c>
      <c r="R137" s="6" t="s">
        <v>230</v>
      </c>
      <c r="S137" s="6" t="s">
        <v>103</v>
      </c>
      <c r="T137" s="6" t="s">
        <v>1309</v>
      </c>
      <c r="U137" s="6" t="s">
        <v>1324</v>
      </c>
      <c r="V137" s="6" t="s">
        <v>1325</v>
      </c>
      <c r="W137" s="6" t="n">
        <v>115</v>
      </c>
      <c r="X137" s="6" t="s">
        <v>36</v>
      </c>
      <c r="Y137" s="6" t="s">
        <v>106</v>
      </c>
      <c r="Z137" s="6" t="s">
        <v>41</v>
      </c>
      <c r="AA137" s="6" t="s">
        <v>107</v>
      </c>
      <c r="AB137" s="6" t="s">
        <v>954</v>
      </c>
      <c r="AC137" s="6" t="s">
        <v>1309</v>
      </c>
      <c r="AD137" s="6" t="s">
        <v>1326</v>
      </c>
      <c r="AE137" s="6" t="s">
        <v>52</v>
      </c>
    </row>
    <row r="138" customFormat="false" ht="23.85" hidden="false" customHeight="false" outlineLevel="0" collapsed="false">
      <c r="A138" s="6" t="s">
        <v>1327</v>
      </c>
      <c r="B138" s="6" t="s">
        <v>1328</v>
      </c>
      <c r="C138" s="6" t="s">
        <v>1329</v>
      </c>
      <c r="D138" s="6" t="s">
        <v>1300</v>
      </c>
      <c r="E138" s="6" t="s">
        <v>1301</v>
      </c>
      <c r="F138" s="6" t="s">
        <v>25</v>
      </c>
      <c r="G138" s="6" t="s">
        <v>191</v>
      </c>
      <c r="H138" s="6" t="s">
        <v>28</v>
      </c>
      <c r="I138" s="6" t="s">
        <v>45</v>
      </c>
      <c r="J138" s="6" t="s">
        <v>49</v>
      </c>
      <c r="K138" s="6" t="s">
        <v>96</v>
      </c>
      <c r="L138" s="6" t="s">
        <v>1330</v>
      </c>
      <c r="M138" s="6" t="s">
        <v>49</v>
      </c>
      <c r="N138" s="6" t="s">
        <v>1331</v>
      </c>
      <c r="O138" s="6" t="s">
        <v>1332</v>
      </c>
      <c r="P138" s="6" t="s">
        <v>1333</v>
      </c>
      <c r="Q138" s="6" t="s">
        <v>573</v>
      </c>
      <c r="R138" s="6" t="s">
        <v>230</v>
      </c>
      <c r="S138" s="6" t="s">
        <v>1334</v>
      </c>
      <c r="T138" s="6" t="s">
        <v>1317</v>
      </c>
      <c r="U138" s="6"/>
      <c r="V138" s="6" t="s">
        <v>953</v>
      </c>
      <c r="W138" s="6" t="n">
        <v>116</v>
      </c>
      <c r="X138" s="6" t="s">
        <v>36</v>
      </c>
      <c r="Y138" s="6" t="s">
        <v>106</v>
      </c>
      <c r="Z138" s="6" t="s">
        <v>40</v>
      </c>
      <c r="AA138" s="6" t="s">
        <v>160</v>
      </c>
      <c r="AB138" s="6" t="s">
        <v>954</v>
      </c>
      <c r="AC138" s="6" t="s">
        <v>1317</v>
      </c>
      <c r="AD138" s="6" t="s">
        <v>1335</v>
      </c>
      <c r="AE138" s="6" t="s">
        <v>52</v>
      </c>
    </row>
    <row r="139" customFormat="false" ht="35.05" hidden="false" customHeight="false" outlineLevel="0" collapsed="false">
      <c r="A139" s="6" t="s">
        <v>760</v>
      </c>
      <c r="B139" s="6" t="s">
        <v>1336</v>
      </c>
      <c r="C139" s="6" t="s">
        <v>1337</v>
      </c>
      <c r="D139" s="6" t="s">
        <v>1300</v>
      </c>
      <c r="E139" s="6" t="s">
        <v>1301</v>
      </c>
      <c r="F139" s="6" t="s">
        <v>26</v>
      </c>
      <c r="G139" s="6" t="s">
        <v>448</v>
      </c>
      <c r="H139" s="6" t="s">
        <v>28</v>
      </c>
      <c r="I139" s="6" t="s">
        <v>45</v>
      </c>
      <c r="J139" s="6" t="s">
        <v>48</v>
      </c>
      <c r="K139" s="6" t="s">
        <v>360</v>
      </c>
      <c r="L139" s="6" t="s">
        <v>1338</v>
      </c>
      <c r="M139" s="6" t="s">
        <v>48</v>
      </c>
      <c r="N139" s="6" t="s">
        <v>1339</v>
      </c>
      <c r="O139" s="6" t="s">
        <v>1340</v>
      </c>
      <c r="P139" s="6" t="s">
        <v>1341</v>
      </c>
      <c r="Q139" s="6" t="s">
        <v>637</v>
      </c>
      <c r="R139" s="6" t="s">
        <v>132</v>
      </c>
      <c r="S139" s="6" t="s">
        <v>1342</v>
      </c>
      <c r="T139" s="6" t="s">
        <v>753</v>
      </c>
      <c r="U139" s="6"/>
      <c r="V139" s="6" t="s">
        <v>1343</v>
      </c>
      <c r="W139" s="6" t="n">
        <v>131</v>
      </c>
      <c r="X139" s="6" t="s">
        <v>37</v>
      </c>
      <c r="Y139" s="6" t="s">
        <v>106</v>
      </c>
      <c r="Z139" s="6" t="s">
        <v>41</v>
      </c>
      <c r="AA139" s="6" t="s">
        <v>107</v>
      </c>
      <c r="AB139" s="6" t="s">
        <v>1344</v>
      </c>
      <c r="AC139" s="6" t="s">
        <v>1345</v>
      </c>
      <c r="AD139" s="6" t="s">
        <v>1346</v>
      </c>
      <c r="AE139" s="6" t="s">
        <v>52</v>
      </c>
    </row>
    <row r="140" customFormat="false" ht="23.85" hidden="false" customHeight="false" outlineLevel="0" collapsed="false">
      <c r="A140" s="6" t="s">
        <v>1347</v>
      </c>
      <c r="B140" s="6" t="s">
        <v>1348</v>
      </c>
      <c r="C140" s="6" t="s">
        <v>1349</v>
      </c>
      <c r="D140" s="6" t="s">
        <v>1300</v>
      </c>
      <c r="E140" s="6" t="s">
        <v>1301</v>
      </c>
      <c r="F140" s="6" t="s">
        <v>26</v>
      </c>
      <c r="G140" s="6" t="s">
        <v>204</v>
      </c>
      <c r="H140" s="6" t="s">
        <v>28</v>
      </c>
      <c r="I140" s="6" t="s">
        <v>45</v>
      </c>
      <c r="J140" s="6" t="s">
        <v>49</v>
      </c>
      <c r="K140" s="6" t="s">
        <v>96</v>
      </c>
      <c r="L140" s="6" t="s">
        <v>1217</v>
      </c>
      <c r="M140" s="6" t="s">
        <v>49</v>
      </c>
      <c r="N140" s="6" t="s">
        <v>1350</v>
      </c>
      <c r="O140" s="6" t="s">
        <v>1198</v>
      </c>
      <c r="P140" s="6" t="s">
        <v>1351</v>
      </c>
      <c r="Q140" s="6" t="s">
        <v>573</v>
      </c>
      <c r="R140" s="6" t="s">
        <v>230</v>
      </c>
      <c r="S140" s="6" t="s">
        <v>103</v>
      </c>
      <c r="T140" s="6" t="s">
        <v>1317</v>
      </c>
      <c r="U140" s="6"/>
      <c r="V140" s="6" t="s">
        <v>1352</v>
      </c>
      <c r="W140" s="6" t="n">
        <v>117</v>
      </c>
      <c r="X140" s="6" t="s">
        <v>36</v>
      </c>
      <c r="Y140" s="6" t="s">
        <v>106</v>
      </c>
      <c r="Z140" s="6" t="s">
        <v>40</v>
      </c>
      <c r="AA140" s="6" t="s">
        <v>160</v>
      </c>
      <c r="AB140" s="6"/>
      <c r="AC140" s="6" t="s">
        <v>1317</v>
      </c>
      <c r="AD140" s="6" t="s">
        <v>1353</v>
      </c>
      <c r="AE140" s="6" t="s">
        <v>52</v>
      </c>
    </row>
    <row r="141" customFormat="false" ht="35.05" hidden="false" customHeight="false" outlineLevel="0" collapsed="false">
      <c r="A141" s="6" t="s">
        <v>1354</v>
      </c>
      <c r="B141" s="6" t="s">
        <v>1355</v>
      </c>
      <c r="C141" s="6" t="s">
        <v>1356</v>
      </c>
      <c r="D141" s="6" t="s">
        <v>1300</v>
      </c>
      <c r="E141" s="6" t="s">
        <v>1357</v>
      </c>
      <c r="F141" s="6" t="s">
        <v>25</v>
      </c>
      <c r="G141" s="6" t="s">
        <v>248</v>
      </c>
      <c r="H141" s="6" t="s">
        <v>28</v>
      </c>
      <c r="I141" s="6" t="s">
        <v>46</v>
      </c>
      <c r="J141" s="6" t="s">
        <v>49</v>
      </c>
      <c r="K141" s="6" t="s">
        <v>96</v>
      </c>
      <c r="L141" s="6" t="s">
        <v>1358</v>
      </c>
      <c r="M141" s="6" t="s">
        <v>49</v>
      </c>
      <c r="N141" s="6" t="s">
        <v>1359</v>
      </c>
      <c r="O141" s="6" t="s">
        <v>1360</v>
      </c>
      <c r="P141" s="6" t="s">
        <v>1361</v>
      </c>
      <c r="Q141" s="6" t="s">
        <v>637</v>
      </c>
      <c r="R141" s="6" t="s">
        <v>184</v>
      </c>
      <c r="S141" s="6" t="s">
        <v>103</v>
      </c>
      <c r="T141" s="6" t="s">
        <v>638</v>
      </c>
      <c r="U141" s="6"/>
      <c r="V141" s="6" t="s">
        <v>1362</v>
      </c>
      <c r="W141" s="6" t="n">
        <v>142</v>
      </c>
      <c r="X141" s="6" t="s">
        <v>38</v>
      </c>
      <c r="Y141" s="6" t="s">
        <v>106</v>
      </c>
      <c r="Z141" s="6" t="s">
        <v>41</v>
      </c>
      <c r="AA141" s="6" t="s">
        <v>173</v>
      </c>
      <c r="AB141" s="6" t="s">
        <v>1363</v>
      </c>
      <c r="AC141" s="6" t="s">
        <v>1309</v>
      </c>
      <c r="AD141" s="6" t="s">
        <v>1364</v>
      </c>
      <c r="AE141" s="6" t="s">
        <v>52</v>
      </c>
    </row>
    <row r="142" customFormat="false" ht="23.85" hidden="false" customHeight="false" outlineLevel="0" collapsed="false">
      <c r="A142" s="6" t="s">
        <v>1365</v>
      </c>
      <c r="B142" s="6" t="s">
        <v>1366</v>
      </c>
      <c r="C142" s="6" t="s">
        <v>1367</v>
      </c>
      <c r="D142" s="6" t="s">
        <v>1300</v>
      </c>
      <c r="E142" s="6" t="s">
        <v>1357</v>
      </c>
      <c r="F142" s="6" t="s">
        <v>25</v>
      </c>
      <c r="G142" s="6" t="s">
        <v>191</v>
      </c>
      <c r="H142" s="6" t="s">
        <v>28</v>
      </c>
      <c r="I142" s="6" t="s">
        <v>45</v>
      </c>
      <c r="J142" s="6" t="s">
        <v>49</v>
      </c>
      <c r="K142" s="6" t="s">
        <v>96</v>
      </c>
      <c r="L142" s="6" t="s">
        <v>1368</v>
      </c>
      <c r="M142" s="6" t="s">
        <v>49</v>
      </c>
      <c r="N142" s="6" t="s">
        <v>1369</v>
      </c>
      <c r="O142" s="6" t="s">
        <v>1360</v>
      </c>
      <c r="P142" s="6" t="s">
        <v>1370</v>
      </c>
      <c r="Q142" s="6" t="s">
        <v>1371</v>
      </c>
      <c r="R142" s="6" t="s">
        <v>184</v>
      </c>
      <c r="S142" s="6" t="s">
        <v>103</v>
      </c>
      <c r="T142" s="6" t="s">
        <v>1309</v>
      </c>
      <c r="U142" s="6" t="s">
        <v>1372</v>
      </c>
      <c r="V142" s="6" t="s">
        <v>1210</v>
      </c>
      <c r="W142" s="6" t="n">
        <v>118</v>
      </c>
      <c r="X142" s="6" t="s">
        <v>36</v>
      </c>
      <c r="Y142" s="6" t="s">
        <v>106</v>
      </c>
      <c r="Z142" s="6" t="s">
        <v>41</v>
      </c>
      <c r="AA142" s="6" t="s">
        <v>107</v>
      </c>
      <c r="AB142" s="6"/>
      <c r="AC142" s="6" t="s">
        <v>1309</v>
      </c>
      <c r="AD142" s="6" t="s">
        <v>1373</v>
      </c>
      <c r="AE142" s="6" t="s">
        <v>52</v>
      </c>
    </row>
    <row r="143" customFormat="false" ht="35.05" hidden="false" customHeight="false" outlineLevel="0" collapsed="false">
      <c r="A143" s="6" t="s">
        <v>1372</v>
      </c>
      <c r="B143" s="6" t="s">
        <v>1374</v>
      </c>
      <c r="C143" s="6" t="s">
        <v>1375</v>
      </c>
      <c r="D143" s="6" t="s">
        <v>1300</v>
      </c>
      <c r="E143" s="6" t="s">
        <v>1357</v>
      </c>
      <c r="F143" s="6" t="s">
        <v>26</v>
      </c>
      <c r="G143" s="6" t="s">
        <v>236</v>
      </c>
      <c r="H143" s="6" t="s">
        <v>28</v>
      </c>
      <c r="I143" s="6" t="s">
        <v>45</v>
      </c>
      <c r="J143" s="6" t="s">
        <v>49</v>
      </c>
      <c r="K143" s="6" t="s">
        <v>96</v>
      </c>
      <c r="L143" s="6" t="s">
        <v>1368</v>
      </c>
      <c r="M143" s="6" t="s">
        <v>49</v>
      </c>
      <c r="N143" s="6" t="s">
        <v>1376</v>
      </c>
      <c r="O143" s="6" t="s">
        <v>1360</v>
      </c>
      <c r="P143" s="6" t="s">
        <v>1377</v>
      </c>
      <c r="Q143" s="6" t="s">
        <v>1371</v>
      </c>
      <c r="R143" s="6" t="s">
        <v>184</v>
      </c>
      <c r="S143" s="6" t="s">
        <v>103</v>
      </c>
      <c r="T143" s="6" t="s">
        <v>1365</v>
      </c>
      <c r="U143" s="6"/>
      <c r="V143" s="6" t="s">
        <v>1352</v>
      </c>
      <c r="W143" s="6" t="n">
        <v>119</v>
      </c>
      <c r="X143" s="6" t="s">
        <v>36</v>
      </c>
      <c r="Y143" s="6" t="s">
        <v>106</v>
      </c>
      <c r="Z143" s="6" t="s">
        <v>40</v>
      </c>
      <c r="AA143" s="6" t="s">
        <v>160</v>
      </c>
      <c r="AB143" s="6"/>
      <c r="AC143" s="6" t="s">
        <v>1365</v>
      </c>
      <c r="AD143" s="6" t="s">
        <v>1378</v>
      </c>
      <c r="AE143" s="6" t="s">
        <v>52</v>
      </c>
    </row>
  </sheetData>
  <autoFilter ref="A1:AE143"/>
  <dataValidations count="1">
    <dataValidation allowBlank="true" errorStyle="stop" operator="between" showDropDown="false" showErrorMessage="false" showInputMessage="false" sqref="AE2:AE143" type="list">
      <formula1>"Not started,Drafting,In review,Approved,Not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8"/>
    <col collapsed="false" customWidth="true" hidden="false" outlineLevel="0" max="4" min="4" style="0" width="16"/>
    <col collapsed="false" customWidth="true" hidden="false" outlineLevel="0" max="5" min="5" style="0" width="30"/>
    <col collapsed="false" customWidth="true" hidden="false" outlineLevel="0" max="6" min="6" style="0" width="12"/>
    <col collapsed="false" customWidth="true" hidden="false" outlineLevel="0" max="7" min="7" style="0" width="40"/>
    <col collapsed="false" customWidth="true" hidden="false" outlineLevel="0" max="8" min="8" style="0" width="10"/>
    <col collapsed="false" customWidth="true" hidden="false" outlineLevel="0" max="9" min="9" style="0" width="18"/>
    <col collapsed="false" customWidth="true" hidden="false" outlineLevel="0" max="10" min="10" style="0" width="45"/>
    <col collapsed="false" customWidth="true" hidden="false" outlineLevel="0" max="11" min="11" style="0" width="34"/>
    <col collapsed="false" customWidth="true" hidden="false" outlineLevel="0" max="12" min="12" style="0" width="50"/>
    <col collapsed="false" customWidth="true" hidden="false" outlineLevel="0" max="14" min="13" style="0" width="24"/>
    <col collapsed="false" customWidth="true" hidden="false" outlineLevel="0" max="15" min="15" style="0" width="18"/>
    <col collapsed="false" customWidth="true" hidden="false" outlineLevel="0" max="16" min="16" style="0" width="50"/>
  </cols>
  <sheetData>
    <row r="1" customFormat="false" ht="46.25" hidden="false" customHeight="false" outlineLevel="0" collapsed="false">
      <c r="A1" s="5" t="s">
        <v>81</v>
      </c>
      <c r="B1" s="5" t="s">
        <v>82</v>
      </c>
      <c r="C1" s="5" t="s">
        <v>1379</v>
      </c>
      <c r="D1" s="5" t="s">
        <v>1380</v>
      </c>
      <c r="E1" s="5" t="s">
        <v>83</v>
      </c>
      <c r="F1" s="5" t="s">
        <v>59</v>
      </c>
      <c r="G1" s="5" t="s">
        <v>1381</v>
      </c>
      <c r="H1" s="5" t="s">
        <v>68</v>
      </c>
      <c r="I1" s="5" t="s">
        <v>84</v>
      </c>
      <c r="J1" s="5" t="s">
        <v>1382</v>
      </c>
      <c r="K1" s="5" t="s">
        <v>85</v>
      </c>
      <c r="L1" s="5" t="s">
        <v>86</v>
      </c>
      <c r="M1" s="5" t="s">
        <v>87</v>
      </c>
      <c r="N1" s="5" t="s">
        <v>1383</v>
      </c>
      <c r="O1" s="5" t="s">
        <v>1384</v>
      </c>
      <c r="P1" s="5" t="s">
        <v>1385</v>
      </c>
    </row>
    <row r="2" customFormat="false" ht="35.05" hidden="false" customHeight="false" outlineLevel="0" collapsed="false">
      <c r="A2" s="6" t="n">
        <v>1</v>
      </c>
      <c r="B2" s="6" t="s">
        <v>1386</v>
      </c>
      <c r="C2" s="6" t="s">
        <v>1387</v>
      </c>
      <c r="D2" s="6" t="s">
        <v>1388</v>
      </c>
      <c r="E2" s="6" t="s">
        <v>1389</v>
      </c>
      <c r="F2" s="6" t="s">
        <v>90</v>
      </c>
      <c r="G2" s="6" t="s">
        <v>91</v>
      </c>
      <c r="H2" s="6" t="s">
        <v>49</v>
      </c>
      <c r="I2" s="6" t="s">
        <v>41</v>
      </c>
      <c r="J2" s="6" t="s">
        <v>1390</v>
      </c>
      <c r="K2" s="6" t="s">
        <v>107</v>
      </c>
      <c r="L2" s="6" t="s">
        <v>108</v>
      </c>
      <c r="M2" s="6"/>
      <c r="N2" s="6" t="s">
        <v>1391</v>
      </c>
      <c r="O2" s="6"/>
      <c r="P2" s="6"/>
    </row>
    <row r="3" customFormat="false" ht="23.85" hidden="false" customHeight="false" outlineLevel="0" collapsed="false">
      <c r="A3" s="6" t="n">
        <v>2</v>
      </c>
      <c r="B3" s="6" t="s">
        <v>1386</v>
      </c>
      <c r="C3" s="6" t="s">
        <v>1387</v>
      </c>
      <c r="D3" s="6" t="s">
        <v>1388</v>
      </c>
      <c r="E3" s="6" t="s">
        <v>1389</v>
      </c>
      <c r="F3" s="6" t="s">
        <v>212</v>
      </c>
      <c r="G3" s="6" t="s">
        <v>213</v>
      </c>
      <c r="H3" s="6" t="s">
        <v>49</v>
      </c>
      <c r="I3" s="6" t="s">
        <v>40</v>
      </c>
      <c r="J3" s="6" t="s">
        <v>1392</v>
      </c>
      <c r="K3" s="6" t="s">
        <v>160</v>
      </c>
      <c r="L3" s="6" t="s">
        <v>221</v>
      </c>
      <c r="M3" s="6" t="s">
        <v>90</v>
      </c>
      <c r="N3" s="6" t="s">
        <v>1393</v>
      </c>
      <c r="O3" s="6"/>
      <c r="P3" s="6"/>
    </row>
    <row r="4" customFormat="false" ht="23.85" hidden="false" customHeight="false" outlineLevel="0" collapsed="false">
      <c r="A4" s="6" t="n">
        <v>3</v>
      </c>
      <c r="B4" s="6" t="s">
        <v>1386</v>
      </c>
      <c r="C4" s="6" t="s">
        <v>1387</v>
      </c>
      <c r="D4" s="6" t="s">
        <v>1388</v>
      </c>
      <c r="E4" s="6" t="s">
        <v>1389</v>
      </c>
      <c r="F4" s="6" t="s">
        <v>223</v>
      </c>
      <c r="G4" s="6" t="s">
        <v>224</v>
      </c>
      <c r="H4" s="6" t="s">
        <v>49</v>
      </c>
      <c r="I4" s="6" t="s">
        <v>41</v>
      </c>
      <c r="J4" s="6" t="s">
        <v>1390</v>
      </c>
      <c r="K4" s="6" t="s">
        <v>107</v>
      </c>
      <c r="L4" s="6" t="s">
        <v>221</v>
      </c>
      <c r="M4" s="6" t="s">
        <v>212</v>
      </c>
      <c r="N4" s="6" t="s">
        <v>231</v>
      </c>
      <c r="O4" s="6"/>
      <c r="P4" s="6"/>
    </row>
    <row r="5" customFormat="false" ht="35.05" hidden="false" customHeight="false" outlineLevel="0" collapsed="false">
      <c r="A5" s="6" t="n">
        <v>4</v>
      </c>
      <c r="B5" s="6" t="s">
        <v>1386</v>
      </c>
      <c r="C5" s="6" t="s">
        <v>1387</v>
      </c>
      <c r="D5" s="6" t="s">
        <v>1388</v>
      </c>
      <c r="E5" s="6" t="s">
        <v>1389</v>
      </c>
      <c r="F5" s="6" t="s">
        <v>138</v>
      </c>
      <c r="G5" s="6" t="s">
        <v>139</v>
      </c>
      <c r="H5" s="6" t="s">
        <v>49</v>
      </c>
      <c r="I5" s="6" t="s">
        <v>42</v>
      </c>
      <c r="J5" s="6" t="s">
        <v>1394</v>
      </c>
      <c r="K5" s="6" t="s">
        <v>150</v>
      </c>
      <c r="L5" s="6" t="s">
        <v>151</v>
      </c>
      <c r="M5" s="6"/>
      <c r="N5" s="6" t="s">
        <v>1395</v>
      </c>
      <c r="O5" s="6" t="s">
        <v>124</v>
      </c>
      <c r="P5" s="6"/>
    </row>
    <row r="6" customFormat="false" ht="91" hidden="false" customHeight="false" outlineLevel="0" collapsed="false">
      <c r="A6" s="6" t="n">
        <v>5</v>
      </c>
      <c r="B6" s="6" t="s">
        <v>1386</v>
      </c>
      <c r="C6" s="6" t="s">
        <v>1387</v>
      </c>
      <c r="D6" s="6" t="s">
        <v>1388</v>
      </c>
      <c r="E6" s="6" t="s">
        <v>1389</v>
      </c>
      <c r="F6" s="6" t="s">
        <v>265</v>
      </c>
      <c r="G6" s="6" t="s">
        <v>288</v>
      </c>
      <c r="H6" s="6" t="s">
        <v>48</v>
      </c>
      <c r="I6" s="6" t="s">
        <v>41</v>
      </c>
      <c r="J6" s="6" t="s">
        <v>1396</v>
      </c>
      <c r="K6" s="6" t="s">
        <v>120</v>
      </c>
      <c r="L6" s="6" t="s">
        <v>296</v>
      </c>
      <c r="M6" s="6" t="s">
        <v>136</v>
      </c>
      <c r="N6" s="6" t="s">
        <v>1397</v>
      </c>
      <c r="O6" s="6"/>
      <c r="P6" s="6" t="s">
        <v>1398</v>
      </c>
    </row>
    <row r="7" customFormat="false" ht="23.85" hidden="false" customHeight="false" outlineLevel="0" collapsed="false">
      <c r="A7" s="6" t="n">
        <v>6</v>
      </c>
      <c r="B7" s="6" t="s">
        <v>1386</v>
      </c>
      <c r="C7" s="6" t="s">
        <v>1387</v>
      </c>
      <c r="D7" s="6" t="s">
        <v>1388</v>
      </c>
      <c r="E7" s="6" t="s">
        <v>1389</v>
      </c>
      <c r="F7" s="6" t="s">
        <v>298</v>
      </c>
      <c r="G7" s="6" t="s">
        <v>299</v>
      </c>
      <c r="H7" s="6" t="s">
        <v>49</v>
      </c>
      <c r="I7" s="6" t="s">
        <v>40</v>
      </c>
      <c r="J7" s="6" t="s">
        <v>1392</v>
      </c>
      <c r="K7" s="6" t="s">
        <v>160</v>
      </c>
      <c r="L7" s="6" t="s">
        <v>306</v>
      </c>
      <c r="M7" s="6" t="s">
        <v>265</v>
      </c>
      <c r="N7" s="6"/>
      <c r="O7" s="6"/>
      <c r="P7" s="6"/>
    </row>
    <row r="8" customFormat="false" ht="23.85" hidden="false" customHeight="false" outlineLevel="0" collapsed="false">
      <c r="A8" s="6" t="n">
        <v>7</v>
      </c>
      <c r="B8" s="6" t="s">
        <v>1386</v>
      </c>
      <c r="C8" s="6" t="s">
        <v>1387</v>
      </c>
      <c r="D8" s="6" t="s">
        <v>1388</v>
      </c>
      <c r="E8" s="6" t="s">
        <v>1399</v>
      </c>
      <c r="F8" s="6" t="s">
        <v>1191</v>
      </c>
      <c r="G8" s="6" t="s">
        <v>1251</v>
      </c>
      <c r="H8" s="6" t="s">
        <v>48</v>
      </c>
      <c r="I8" s="6" t="s">
        <v>40</v>
      </c>
      <c r="J8" s="6" t="s">
        <v>1392</v>
      </c>
      <c r="K8" s="6" t="s">
        <v>160</v>
      </c>
      <c r="L8" s="6"/>
      <c r="M8" s="6"/>
      <c r="N8" s="6" t="s">
        <v>1164</v>
      </c>
      <c r="O8" s="6"/>
      <c r="P8" s="6"/>
    </row>
    <row r="9" customFormat="false" ht="46.25" hidden="false" customHeight="false" outlineLevel="0" collapsed="false">
      <c r="A9" s="6" t="n">
        <v>8</v>
      </c>
      <c r="B9" s="6" t="s">
        <v>1386</v>
      </c>
      <c r="C9" s="6" t="s">
        <v>1387</v>
      </c>
      <c r="D9" s="6" t="s">
        <v>1388</v>
      </c>
      <c r="E9" s="6" t="s">
        <v>1399</v>
      </c>
      <c r="F9" s="6" t="s">
        <v>1164</v>
      </c>
      <c r="G9" s="6" t="s">
        <v>1181</v>
      </c>
      <c r="H9" s="6" t="s">
        <v>48</v>
      </c>
      <c r="I9" s="6" t="s">
        <v>42</v>
      </c>
      <c r="J9" s="6" t="s">
        <v>1400</v>
      </c>
      <c r="K9" s="6" t="s">
        <v>1190</v>
      </c>
      <c r="L9" s="6" t="s">
        <v>1165</v>
      </c>
      <c r="M9" s="6" t="s">
        <v>1191</v>
      </c>
      <c r="N9" s="6" t="s">
        <v>1401</v>
      </c>
      <c r="O9" s="6"/>
      <c r="P9" s="6" t="s">
        <v>1402</v>
      </c>
    </row>
    <row r="10" customFormat="false" ht="23.85" hidden="false" customHeight="false" outlineLevel="0" collapsed="false">
      <c r="A10" s="6" t="n">
        <v>9</v>
      </c>
      <c r="B10" s="6" t="s">
        <v>1386</v>
      </c>
      <c r="C10" s="6" t="s">
        <v>1387</v>
      </c>
      <c r="D10" s="6" t="s">
        <v>1388</v>
      </c>
      <c r="E10" s="6" t="s">
        <v>1399</v>
      </c>
      <c r="F10" s="6" t="s">
        <v>1235</v>
      </c>
      <c r="G10" s="6" t="s">
        <v>1236</v>
      </c>
      <c r="H10" s="6" t="s">
        <v>49</v>
      </c>
      <c r="I10" s="6" t="s">
        <v>40</v>
      </c>
      <c r="J10" s="6" t="s">
        <v>1392</v>
      </c>
      <c r="K10" s="6" t="s">
        <v>160</v>
      </c>
      <c r="L10" s="6"/>
      <c r="M10" s="6" t="s">
        <v>1164</v>
      </c>
      <c r="N10" s="6"/>
      <c r="O10" s="6" t="s">
        <v>1193</v>
      </c>
      <c r="P10" s="6"/>
    </row>
    <row r="11" customFormat="false" ht="23.85" hidden="false" customHeight="false" outlineLevel="0" collapsed="false">
      <c r="A11" s="6" t="n">
        <v>10</v>
      </c>
      <c r="B11" s="6" t="s">
        <v>1386</v>
      </c>
      <c r="C11" s="6" t="s">
        <v>1387</v>
      </c>
      <c r="D11" s="6" t="s">
        <v>1388</v>
      </c>
      <c r="E11" s="6" t="s">
        <v>1399</v>
      </c>
      <c r="F11" s="6" t="s">
        <v>1243</v>
      </c>
      <c r="G11" s="6" t="s">
        <v>1244</v>
      </c>
      <c r="H11" s="6" t="s">
        <v>49</v>
      </c>
      <c r="I11" s="6" t="s">
        <v>40</v>
      </c>
      <c r="J11" s="6" t="s">
        <v>1392</v>
      </c>
      <c r="K11" s="6" t="s">
        <v>160</v>
      </c>
      <c r="L11" s="6"/>
      <c r="M11" s="6" t="s">
        <v>1164</v>
      </c>
      <c r="N11" s="6"/>
      <c r="O11" s="6" t="s">
        <v>1193</v>
      </c>
      <c r="P11" s="6"/>
    </row>
    <row r="12" customFormat="false" ht="23.85" hidden="false" customHeight="false" outlineLevel="0" collapsed="false">
      <c r="A12" s="6" t="n">
        <v>11</v>
      </c>
      <c r="B12" s="6" t="s">
        <v>1386</v>
      </c>
      <c r="C12" s="6" t="s">
        <v>1387</v>
      </c>
      <c r="D12" s="6" t="s">
        <v>1388</v>
      </c>
      <c r="E12" s="6" t="s">
        <v>1399</v>
      </c>
      <c r="F12" s="6" t="s">
        <v>945</v>
      </c>
      <c r="G12" s="6" t="s">
        <v>946</v>
      </c>
      <c r="H12" s="6" t="s">
        <v>49</v>
      </c>
      <c r="I12" s="6" t="s">
        <v>40</v>
      </c>
      <c r="J12" s="6" t="s">
        <v>1392</v>
      </c>
      <c r="K12" s="6" t="s">
        <v>160</v>
      </c>
      <c r="L12" s="6" t="s">
        <v>954</v>
      </c>
      <c r="M12" s="6"/>
      <c r="N12" s="6" t="s">
        <v>952</v>
      </c>
      <c r="O12" s="6" t="s">
        <v>919</v>
      </c>
      <c r="P12" s="6"/>
    </row>
    <row r="13" customFormat="false" ht="23.85" hidden="false" customHeight="false" outlineLevel="0" collapsed="false">
      <c r="A13" s="6" t="n">
        <v>12</v>
      </c>
      <c r="B13" s="6" t="s">
        <v>1386</v>
      </c>
      <c r="C13" s="6" t="s">
        <v>1387</v>
      </c>
      <c r="D13" s="6" t="s">
        <v>1388</v>
      </c>
      <c r="E13" s="6" t="s">
        <v>1399</v>
      </c>
      <c r="F13" s="6" t="s">
        <v>952</v>
      </c>
      <c r="G13" s="6" t="s">
        <v>956</v>
      </c>
      <c r="H13" s="6" t="s">
        <v>49</v>
      </c>
      <c r="I13" s="6" t="s">
        <v>40</v>
      </c>
      <c r="J13" s="6" t="s">
        <v>1403</v>
      </c>
      <c r="K13" s="6" t="s">
        <v>160</v>
      </c>
      <c r="L13" s="6" t="s">
        <v>954</v>
      </c>
      <c r="M13" s="6" t="s">
        <v>945</v>
      </c>
      <c r="N13" s="6" t="s">
        <v>1404</v>
      </c>
      <c r="O13" s="6"/>
      <c r="P13" s="6"/>
    </row>
    <row r="14" customFormat="false" ht="23.85" hidden="false" customHeight="false" outlineLevel="0" collapsed="false">
      <c r="A14" s="6" t="n">
        <v>13</v>
      </c>
      <c r="B14" s="6" t="s">
        <v>1386</v>
      </c>
      <c r="C14" s="6" t="s">
        <v>1387</v>
      </c>
      <c r="D14" s="6" t="s">
        <v>1388</v>
      </c>
      <c r="E14" s="6" t="s">
        <v>1399</v>
      </c>
      <c r="F14" s="6" t="s">
        <v>961</v>
      </c>
      <c r="G14" s="6" t="s">
        <v>963</v>
      </c>
      <c r="H14" s="6" t="s">
        <v>49</v>
      </c>
      <c r="I14" s="6" t="s">
        <v>40</v>
      </c>
      <c r="J14" s="6" t="s">
        <v>1403</v>
      </c>
      <c r="K14" s="6" t="s">
        <v>160</v>
      </c>
      <c r="L14" s="6" t="s">
        <v>954</v>
      </c>
      <c r="M14" s="6" t="s">
        <v>952</v>
      </c>
      <c r="N14" s="6"/>
      <c r="O14" s="6"/>
      <c r="P14" s="6"/>
    </row>
    <row r="15" customFormat="false" ht="23.85" hidden="false" customHeight="false" outlineLevel="0" collapsed="false">
      <c r="A15" s="6" t="n">
        <v>14</v>
      </c>
      <c r="B15" s="6" t="s">
        <v>1386</v>
      </c>
      <c r="C15" s="6" t="s">
        <v>1387</v>
      </c>
      <c r="D15" s="6" t="s">
        <v>1388</v>
      </c>
      <c r="E15" s="6" t="s">
        <v>1399</v>
      </c>
      <c r="F15" s="6" t="s">
        <v>786</v>
      </c>
      <c r="G15" s="6" t="s">
        <v>787</v>
      </c>
      <c r="H15" s="6" t="s">
        <v>49</v>
      </c>
      <c r="I15" s="6" t="s">
        <v>41</v>
      </c>
      <c r="J15" s="6" t="s">
        <v>1405</v>
      </c>
      <c r="K15" s="6" t="s">
        <v>107</v>
      </c>
      <c r="L15" s="6" t="s">
        <v>794</v>
      </c>
      <c r="M15" s="6"/>
      <c r="N15" s="6" t="s">
        <v>1406</v>
      </c>
      <c r="O15" s="6" t="s">
        <v>774</v>
      </c>
      <c r="P15" s="6" t="s">
        <v>1407</v>
      </c>
    </row>
    <row r="16" customFormat="false" ht="23.85" hidden="false" customHeight="false" outlineLevel="0" collapsed="false">
      <c r="A16" s="6" t="n">
        <v>15</v>
      </c>
      <c r="B16" s="6" t="s">
        <v>1386</v>
      </c>
      <c r="C16" s="6" t="s">
        <v>1387</v>
      </c>
      <c r="D16" s="6" t="s">
        <v>1388</v>
      </c>
      <c r="E16" s="6" t="s">
        <v>1399</v>
      </c>
      <c r="F16" s="6" t="s">
        <v>853</v>
      </c>
      <c r="G16" s="6" t="s">
        <v>854</v>
      </c>
      <c r="H16" s="6" t="s">
        <v>49</v>
      </c>
      <c r="I16" s="6" t="s">
        <v>40</v>
      </c>
      <c r="J16" s="6" t="s">
        <v>1403</v>
      </c>
      <c r="K16" s="6" t="s">
        <v>160</v>
      </c>
      <c r="L16" s="6" t="s">
        <v>794</v>
      </c>
      <c r="M16" s="6"/>
      <c r="N16" s="6"/>
      <c r="O16" s="6" t="s">
        <v>796</v>
      </c>
      <c r="P16" s="6"/>
    </row>
    <row r="17" customFormat="false" ht="23.85" hidden="false" customHeight="false" outlineLevel="0" collapsed="false">
      <c r="A17" s="6" t="n">
        <v>16</v>
      </c>
      <c r="B17" s="6" t="s">
        <v>1408</v>
      </c>
      <c r="C17" s="6" t="s">
        <v>1409</v>
      </c>
      <c r="D17" s="6" t="s">
        <v>1410</v>
      </c>
      <c r="E17" s="6" t="s">
        <v>1389</v>
      </c>
      <c r="F17" s="6" t="s">
        <v>124</v>
      </c>
      <c r="G17" s="6" t="s">
        <v>125</v>
      </c>
      <c r="H17" s="6" t="s">
        <v>48</v>
      </c>
      <c r="I17" s="6" t="s">
        <v>41</v>
      </c>
      <c r="J17" s="6" t="s">
        <v>1390</v>
      </c>
      <c r="K17" s="6" t="s">
        <v>120</v>
      </c>
      <c r="L17" s="6" t="s">
        <v>135</v>
      </c>
      <c r="M17" s="6" t="s">
        <v>136</v>
      </c>
      <c r="N17" s="6" t="s">
        <v>1411</v>
      </c>
      <c r="O17" s="6"/>
      <c r="P17" s="6"/>
    </row>
    <row r="18" customFormat="false" ht="23.85" hidden="false" customHeight="false" outlineLevel="0" collapsed="false">
      <c r="A18" s="6" t="n">
        <v>17</v>
      </c>
      <c r="B18" s="6" t="s">
        <v>1408</v>
      </c>
      <c r="C18" s="6" t="s">
        <v>1409</v>
      </c>
      <c r="D18" s="6" t="s">
        <v>1410</v>
      </c>
      <c r="E18" s="6" t="s">
        <v>1389</v>
      </c>
      <c r="F18" s="6" t="s">
        <v>153</v>
      </c>
      <c r="G18" s="6" t="s">
        <v>154</v>
      </c>
      <c r="H18" s="6" t="s">
        <v>49</v>
      </c>
      <c r="I18" s="6" t="s">
        <v>40</v>
      </c>
      <c r="J18" s="6" t="s">
        <v>1392</v>
      </c>
      <c r="K18" s="6" t="s">
        <v>160</v>
      </c>
      <c r="L18" s="6" t="s">
        <v>135</v>
      </c>
      <c r="M18" s="6" t="s">
        <v>124</v>
      </c>
      <c r="N18" s="6"/>
      <c r="O18" s="6"/>
      <c r="P18" s="6"/>
    </row>
    <row r="19" customFormat="false" ht="23.85" hidden="false" customHeight="false" outlineLevel="0" collapsed="false">
      <c r="A19" s="6" t="n">
        <v>18</v>
      </c>
      <c r="B19" s="6" t="s">
        <v>1408</v>
      </c>
      <c r="C19" s="6" t="s">
        <v>1409</v>
      </c>
      <c r="D19" s="6" t="s">
        <v>1410</v>
      </c>
      <c r="E19" s="6" t="s">
        <v>1389</v>
      </c>
      <c r="F19" s="6" t="s">
        <v>564</v>
      </c>
      <c r="G19" s="6" t="s">
        <v>565</v>
      </c>
      <c r="H19" s="6" t="s">
        <v>49</v>
      </c>
      <c r="I19" s="6" t="s">
        <v>40</v>
      </c>
      <c r="J19" s="6" t="s">
        <v>1392</v>
      </c>
      <c r="K19" s="6" t="s">
        <v>160</v>
      </c>
      <c r="L19" s="6" t="s">
        <v>267</v>
      </c>
      <c r="M19" s="6" t="s">
        <v>265</v>
      </c>
      <c r="N19" s="6" t="s">
        <v>577</v>
      </c>
      <c r="O19" s="6"/>
      <c r="P19" s="6"/>
    </row>
    <row r="20" customFormat="false" ht="35.05" hidden="false" customHeight="false" outlineLevel="0" collapsed="false">
      <c r="A20" s="6" t="n">
        <v>19</v>
      </c>
      <c r="B20" s="6" t="s">
        <v>1408</v>
      </c>
      <c r="C20" s="6" t="s">
        <v>1409</v>
      </c>
      <c r="D20" s="6" t="s">
        <v>1410</v>
      </c>
      <c r="E20" s="6" t="s">
        <v>1389</v>
      </c>
      <c r="F20" s="6" t="s">
        <v>586</v>
      </c>
      <c r="G20" s="6" t="s">
        <v>587</v>
      </c>
      <c r="H20" s="6" t="s">
        <v>49</v>
      </c>
      <c r="I20" s="6" t="s">
        <v>40</v>
      </c>
      <c r="J20" s="6" t="s">
        <v>1412</v>
      </c>
      <c r="K20" s="6" t="s">
        <v>160</v>
      </c>
      <c r="L20" s="6" t="s">
        <v>595</v>
      </c>
      <c r="M20" s="6"/>
      <c r="N20" s="6" t="s">
        <v>1413</v>
      </c>
      <c r="O20" s="6"/>
      <c r="P20" s="6" t="s">
        <v>1414</v>
      </c>
    </row>
    <row r="21" customFormat="false" ht="35.05" hidden="false" customHeight="false" outlineLevel="0" collapsed="false">
      <c r="A21" s="6" t="n">
        <v>20</v>
      </c>
      <c r="B21" s="6" t="s">
        <v>1408</v>
      </c>
      <c r="C21" s="6" t="s">
        <v>1409</v>
      </c>
      <c r="D21" s="6" t="s">
        <v>1410</v>
      </c>
      <c r="E21" s="6" t="s">
        <v>1389</v>
      </c>
      <c r="F21" s="6" t="s">
        <v>597</v>
      </c>
      <c r="G21" s="6" t="s">
        <v>598</v>
      </c>
      <c r="H21" s="6" t="s">
        <v>49</v>
      </c>
      <c r="I21" s="6" t="s">
        <v>40</v>
      </c>
      <c r="J21" s="6" t="s">
        <v>1412</v>
      </c>
      <c r="K21" s="6" t="s">
        <v>160</v>
      </c>
      <c r="L21" s="6" t="s">
        <v>595</v>
      </c>
      <c r="M21" s="6"/>
      <c r="N21" s="6" t="s">
        <v>1415</v>
      </c>
      <c r="O21" s="6"/>
      <c r="P21" s="6"/>
    </row>
    <row r="22" customFormat="false" ht="23.85" hidden="false" customHeight="false" outlineLevel="0" collapsed="false">
      <c r="A22" s="6" t="n">
        <v>21</v>
      </c>
      <c r="B22" s="6" t="s">
        <v>1408</v>
      </c>
      <c r="C22" s="6" t="s">
        <v>1409</v>
      </c>
      <c r="D22" s="6" t="s">
        <v>1410</v>
      </c>
      <c r="E22" s="6" t="s">
        <v>1389</v>
      </c>
      <c r="F22" s="6" t="s">
        <v>612</v>
      </c>
      <c r="G22" s="6" t="s">
        <v>613</v>
      </c>
      <c r="H22" s="6" t="s">
        <v>49</v>
      </c>
      <c r="I22" s="6" t="s">
        <v>40</v>
      </c>
      <c r="J22" s="6" t="s">
        <v>1392</v>
      </c>
      <c r="K22" s="6" t="s">
        <v>160</v>
      </c>
      <c r="L22" s="6" t="s">
        <v>595</v>
      </c>
      <c r="M22" s="6" t="s">
        <v>586</v>
      </c>
      <c r="N22" s="6" t="s">
        <v>1079</v>
      </c>
      <c r="O22" s="6"/>
      <c r="P22" s="6"/>
    </row>
    <row r="23" customFormat="false" ht="23.85" hidden="false" customHeight="false" outlineLevel="0" collapsed="false">
      <c r="A23" s="6" t="n">
        <v>22</v>
      </c>
      <c r="B23" s="6" t="s">
        <v>1408</v>
      </c>
      <c r="C23" s="6" t="s">
        <v>1409</v>
      </c>
      <c r="D23" s="6" t="s">
        <v>1410</v>
      </c>
      <c r="E23" s="6" t="s">
        <v>1389</v>
      </c>
      <c r="F23" s="6" t="s">
        <v>621</v>
      </c>
      <c r="G23" s="6" t="s">
        <v>622</v>
      </c>
      <c r="H23" s="6" t="s">
        <v>50</v>
      </c>
      <c r="I23" s="6" t="s">
        <v>40</v>
      </c>
      <c r="J23" s="6" t="s">
        <v>1392</v>
      </c>
      <c r="K23" s="6" t="s">
        <v>160</v>
      </c>
      <c r="L23" s="6" t="s">
        <v>595</v>
      </c>
      <c r="M23" s="6" t="s">
        <v>586</v>
      </c>
      <c r="N23" s="6" t="s">
        <v>1070</v>
      </c>
      <c r="O23" s="6"/>
      <c r="P23" s="6"/>
    </row>
    <row r="24" customFormat="false" ht="23.85" hidden="false" customHeight="false" outlineLevel="0" collapsed="false">
      <c r="A24" s="6" t="n">
        <v>23</v>
      </c>
      <c r="B24" s="6" t="s">
        <v>1408</v>
      </c>
      <c r="C24" s="6" t="s">
        <v>1409</v>
      </c>
      <c r="D24" s="6" t="s">
        <v>1410</v>
      </c>
      <c r="E24" s="6" t="s">
        <v>1389</v>
      </c>
      <c r="F24" s="6" t="s">
        <v>392</v>
      </c>
      <c r="G24" s="6" t="s">
        <v>604</v>
      </c>
      <c r="H24" s="6" t="s">
        <v>49</v>
      </c>
      <c r="I24" s="6" t="s">
        <v>41</v>
      </c>
      <c r="J24" s="6" t="s">
        <v>1416</v>
      </c>
      <c r="K24" s="6" t="s">
        <v>610</v>
      </c>
      <c r="L24" s="6" t="s">
        <v>391</v>
      </c>
      <c r="M24" s="6" t="s">
        <v>597</v>
      </c>
      <c r="N24" s="6" t="s">
        <v>1417</v>
      </c>
      <c r="O24" s="6"/>
      <c r="P24" s="6"/>
    </row>
    <row r="25" customFormat="false" ht="35.05" hidden="false" customHeight="false" outlineLevel="0" collapsed="false">
      <c r="A25" s="6" t="n">
        <v>24</v>
      </c>
      <c r="B25" s="6" t="s">
        <v>1408</v>
      </c>
      <c r="C25" s="6" t="s">
        <v>1409</v>
      </c>
      <c r="D25" s="6" t="s">
        <v>1410</v>
      </c>
      <c r="E25" s="6" t="s">
        <v>1389</v>
      </c>
      <c r="F25" s="6" t="s">
        <v>369</v>
      </c>
      <c r="G25" s="6" t="s">
        <v>370</v>
      </c>
      <c r="H25" s="6" t="s">
        <v>49</v>
      </c>
      <c r="I25" s="6" t="s">
        <v>41</v>
      </c>
      <c r="J25" s="6" t="s">
        <v>1418</v>
      </c>
      <c r="K25" s="6" t="s">
        <v>379</v>
      </c>
      <c r="L25" s="6" t="s">
        <v>296</v>
      </c>
      <c r="M25" s="6" t="s">
        <v>380</v>
      </c>
      <c r="N25" s="6" t="s">
        <v>1419</v>
      </c>
      <c r="O25" s="6"/>
      <c r="P25" s="6"/>
    </row>
    <row r="26" customFormat="false" ht="23.85" hidden="false" customHeight="false" outlineLevel="0" collapsed="false">
      <c r="A26" s="6" t="n">
        <v>25</v>
      </c>
      <c r="B26" s="6" t="s">
        <v>1408</v>
      </c>
      <c r="C26" s="6" t="s">
        <v>1409</v>
      </c>
      <c r="D26" s="6" t="s">
        <v>1410</v>
      </c>
      <c r="E26" s="6" t="s">
        <v>1389</v>
      </c>
      <c r="F26" s="6" t="s">
        <v>382</v>
      </c>
      <c r="G26" s="6" t="s">
        <v>383</v>
      </c>
      <c r="H26" s="6" t="s">
        <v>48</v>
      </c>
      <c r="I26" s="6" t="s">
        <v>41</v>
      </c>
      <c r="J26" s="6" t="s">
        <v>1416</v>
      </c>
      <c r="K26" s="6" t="s">
        <v>390</v>
      </c>
      <c r="L26" s="6" t="s">
        <v>391</v>
      </c>
      <c r="M26" s="6" t="s">
        <v>392</v>
      </c>
      <c r="N26" s="6" t="s">
        <v>394</v>
      </c>
      <c r="O26" s="6"/>
      <c r="P26" s="6"/>
    </row>
    <row r="27" customFormat="false" ht="35.05" hidden="false" customHeight="false" outlineLevel="0" collapsed="false">
      <c r="A27" s="6" t="n">
        <v>26</v>
      </c>
      <c r="B27" s="6" t="s">
        <v>1408</v>
      </c>
      <c r="C27" s="6" t="s">
        <v>1409</v>
      </c>
      <c r="D27" s="6" t="s">
        <v>1410</v>
      </c>
      <c r="E27" s="6" t="s">
        <v>1389</v>
      </c>
      <c r="F27" s="6" t="s">
        <v>394</v>
      </c>
      <c r="G27" s="6" t="s">
        <v>395</v>
      </c>
      <c r="H27" s="6" t="s">
        <v>48</v>
      </c>
      <c r="I27" s="6" t="s">
        <v>41</v>
      </c>
      <c r="J27" s="6" t="s">
        <v>1418</v>
      </c>
      <c r="K27" s="6" t="s">
        <v>379</v>
      </c>
      <c r="L27" s="6" t="s">
        <v>391</v>
      </c>
      <c r="M27" s="6" t="s">
        <v>382</v>
      </c>
      <c r="N27" s="6"/>
      <c r="O27" s="6"/>
      <c r="P27" s="6"/>
    </row>
    <row r="28" customFormat="false" ht="23.85" hidden="false" customHeight="false" outlineLevel="0" collapsed="false">
      <c r="A28" s="6" t="n">
        <v>27</v>
      </c>
      <c r="B28" s="6" t="s">
        <v>1408</v>
      </c>
      <c r="C28" s="6" t="s">
        <v>1409</v>
      </c>
      <c r="D28" s="6" t="s">
        <v>1410</v>
      </c>
      <c r="E28" s="6" t="s">
        <v>1389</v>
      </c>
      <c r="F28" s="6" t="s">
        <v>519</v>
      </c>
      <c r="G28" s="6" t="s">
        <v>520</v>
      </c>
      <c r="H28" s="6" t="s">
        <v>49</v>
      </c>
      <c r="I28" s="6" t="s">
        <v>40</v>
      </c>
      <c r="J28" s="6" t="s">
        <v>1392</v>
      </c>
      <c r="K28" s="6" t="s">
        <v>160</v>
      </c>
      <c r="L28" s="6" t="s">
        <v>517</v>
      </c>
      <c r="M28" s="6"/>
      <c r="N28" s="6" t="s">
        <v>497</v>
      </c>
      <c r="O28" s="6" t="s">
        <v>509</v>
      </c>
      <c r="P28" s="6"/>
    </row>
    <row r="29" customFormat="false" ht="35.05" hidden="false" customHeight="false" outlineLevel="0" collapsed="false">
      <c r="A29" s="6" t="n">
        <v>28</v>
      </c>
      <c r="B29" s="6" t="s">
        <v>1408</v>
      </c>
      <c r="C29" s="6" t="s">
        <v>1409</v>
      </c>
      <c r="D29" s="6" t="s">
        <v>1410</v>
      </c>
      <c r="E29" s="6" t="s">
        <v>1389</v>
      </c>
      <c r="F29" s="6" t="s">
        <v>629</v>
      </c>
      <c r="G29" s="6" t="s">
        <v>630</v>
      </c>
      <c r="H29" s="6" t="s">
        <v>49</v>
      </c>
      <c r="I29" s="6" t="s">
        <v>42</v>
      </c>
      <c r="J29" s="6" t="s">
        <v>1420</v>
      </c>
      <c r="K29" s="6" t="s">
        <v>173</v>
      </c>
      <c r="L29" s="6" t="s">
        <v>640</v>
      </c>
      <c r="M29" s="6" t="s">
        <v>641</v>
      </c>
      <c r="N29" s="6" t="s">
        <v>1421</v>
      </c>
      <c r="O29" s="6" t="s">
        <v>638</v>
      </c>
      <c r="P29" s="6" t="s">
        <v>1422</v>
      </c>
    </row>
    <row r="30" customFormat="false" ht="35.05" hidden="false" customHeight="false" outlineLevel="0" collapsed="false">
      <c r="A30" s="6" t="n">
        <v>29</v>
      </c>
      <c r="B30" s="6" t="s">
        <v>1408</v>
      </c>
      <c r="C30" s="6" t="s">
        <v>1409</v>
      </c>
      <c r="D30" s="6" t="s">
        <v>1410</v>
      </c>
      <c r="E30" s="6" t="s">
        <v>1389</v>
      </c>
      <c r="F30" s="6" t="s">
        <v>162</v>
      </c>
      <c r="G30" s="6" t="s">
        <v>163</v>
      </c>
      <c r="H30" s="6" t="s">
        <v>49</v>
      </c>
      <c r="I30" s="6" t="s">
        <v>42</v>
      </c>
      <c r="J30" s="6" t="s">
        <v>1423</v>
      </c>
      <c r="K30" s="6" t="s">
        <v>173</v>
      </c>
      <c r="L30" s="6" t="s">
        <v>174</v>
      </c>
      <c r="M30" s="6" t="s">
        <v>175</v>
      </c>
      <c r="N30" s="6" t="s">
        <v>172</v>
      </c>
      <c r="O30" s="6"/>
      <c r="P30" s="6"/>
    </row>
    <row r="31" customFormat="false" ht="23.85" hidden="false" customHeight="false" outlineLevel="0" collapsed="false">
      <c r="A31" s="6" t="n">
        <v>30</v>
      </c>
      <c r="B31" s="6" t="s">
        <v>1408</v>
      </c>
      <c r="C31" s="6" t="s">
        <v>1409</v>
      </c>
      <c r="D31" s="6" t="s">
        <v>1410</v>
      </c>
      <c r="E31" s="6" t="s">
        <v>1389</v>
      </c>
      <c r="F31" s="6" t="s">
        <v>172</v>
      </c>
      <c r="G31" s="6" t="s">
        <v>177</v>
      </c>
      <c r="H31" s="6" t="s">
        <v>49</v>
      </c>
      <c r="I31" s="6" t="s">
        <v>41</v>
      </c>
      <c r="J31" s="6" t="s">
        <v>1424</v>
      </c>
      <c r="K31" s="6" t="s">
        <v>120</v>
      </c>
      <c r="L31" s="6" t="s">
        <v>187</v>
      </c>
      <c r="M31" s="6" t="s">
        <v>185</v>
      </c>
      <c r="N31" s="6" t="s">
        <v>186</v>
      </c>
      <c r="O31" s="6"/>
      <c r="P31" s="6"/>
    </row>
    <row r="32" customFormat="false" ht="23.85" hidden="false" customHeight="false" outlineLevel="0" collapsed="false">
      <c r="A32" s="6" t="n">
        <v>31</v>
      </c>
      <c r="B32" s="6" t="s">
        <v>1408</v>
      </c>
      <c r="C32" s="6" t="s">
        <v>1409</v>
      </c>
      <c r="D32" s="6" t="s">
        <v>1410</v>
      </c>
      <c r="E32" s="6" t="s">
        <v>1389</v>
      </c>
      <c r="F32" s="6" t="s">
        <v>186</v>
      </c>
      <c r="G32" s="6" t="s">
        <v>189</v>
      </c>
      <c r="H32" s="6" t="s">
        <v>48</v>
      </c>
      <c r="I32" s="6" t="s">
        <v>42</v>
      </c>
      <c r="J32" s="6" t="s">
        <v>1424</v>
      </c>
      <c r="K32" s="6" t="s">
        <v>120</v>
      </c>
      <c r="L32" s="6" t="s">
        <v>199</v>
      </c>
      <c r="M32" s="6" t="s">
        <v>172</v>
      </c>
      <c r="N32" s="6" t="s">
        <v>1425</v>
      </c>
      <c r="O32" s="6"/>
      <c r="P32" s="6"/>
    </row>
    <row r="33" customFormat="false" ht="23.85" hidden="false" customHeight="false" outlineLevel="0" collapsed="false">
      <c r="A33" s="6" t="n">
        <v>32</v>
      </c>
      <c r="B33" s="6" t="s">
        <v>1408</v>
      </c>
      <c r="C33" s="6" t="s">
        <v>1409</v>
      </c>
      <c r="D33" s="6" t="s">
        <v>1410</v>
      </c>
      <c r="E33" s="6" t="s">
        <v>1389</v>
      </c>
      <c r="F33" s="6" t="s">
        <v>651</v>
      </c>
      <c r="G33" s="6" t="s">
        <v>652</v>
      </c>
      <c r="H33" s="6" t="s">
        <v>48</v>
      </c>
      <c r="I33" s="6" t="s">
        <v>42</v>
      </c>
      <c r="J33" s="6" t="s">
        <v>1424</v>
      </c>
      <c r="K33" s="6" t="s">
        <v>120</v>
      </c>
      <c r="L33" s="6" t="s">
        <v>661</v>
      </c>
      <c r="M33" s="6" t="s">
        <v>662</v>
      </c>
      <c r="N33" s="6" t="s">
        <v>1426</v>
      </c>
      <c r="O33" s="6"/>
      <c r="P33" s="6"/>
    </row>
    <row r="34" customFormat="false" ht="23.85" hidden="false" customHeight="false" outlineLevel="0" collapsed="false">
      <c r="A34" s="6" t="n">
        <v>33</v>
      </c>
      <c r="B34" s="6" t="s">
        <v>1408</v>
      </c>
      <c r="C34" s="6" t="s">
        <v>1409</v>
      </c>
      <c r="D34" s="6" t="s">
        <v>1410</v>
      </c>
      <c r="E34" s="6" t="s">
        <v>1389</v>
      </c>
      <c r="F34" s="6" t="s">
        <v>671</v>
      </c>
      <c r="G34" s="6" t="s">
        <v>672</v>
      </c>
      <c r="H34" s="6" t="s">
        <v>48</v>
      </c>
      <c r="I34" s="6" t="s">
        <v>42</v>
      </c>
      <c r="J34" s="6" t="s">
        <v>1424</v>
      </c>
      <c r="K34" s="6" t="s">
        <v>120</v>
      </c>
      <c r="L34" s="6" t="s">
        <v>678</v>
      </c>
      <c r="M34" s="6" t="s">
        <v>651</v>
      </c>
      <c r="N34" s="6" t="s">
        <v>110</v>
      </c>
      <c r="O34" s="6"/>
      <c r="P34" s="6"/>
    </row>
    <row r="35" customFormat="false" ht="23.85" hidden="false" customHeight="false" outlineLevel="0" collapsed="false">
      <c r="A35" s="6" t="n">
        <v>34</v>
      </c>
      <c r="B35" s="6" t="s">
        <v>1408</v>
      </c>
      <c r="C35" s="6" t="s">
        <v>1409</v>
      </c>
      <c r="D35" s="6" t="s">
        <v>1410</v>
      </c>
      <c r="E35" s="6" t="s">
        <v>1399</v>
      </c>
      <c r="F35" s="6" t="s">
        <v>1204</v>
      </c>
      <c r="G35" s="6" t="s">
        <v>1205</v>
      </c>
      <c r="H35" s="6" t="s">
        <v>49</v>
      </c>
      <c r="I35" s="6" t="s">
        <v>42</v>
      </c>
      <c r="J35" s="6" t="s">
        <v>1427</v>
      </c>
      <c r="K35" s="6" t="s">
        <v>1190</v>
      </c>
      <c r="L35" s="6" t="s">
        <v>1211</v>
      </c>
      <c r="M35" s="6" t="s">
        <v>1212</v>
      </c>
      <c r="N35" s="6"/>
      <c r="O35" s="6" t="s">
        <v>1193</v>
      </c>
      <c r="P35" s="6"/>
    </row>
    <row r="36" customFormat="false" ht="23.85" hidden="false" customHeight="false" outlineLevel="0" collapsed="false">
      <c r="A36" s="6" t="n">
        <v>35</v>
      </c>
      <c r="B36" s="6" t="s">
        <v>1408</v>
      </c>
      <c r="C36" s="6" t="s">
        <v>1409</v>
      </c>
      <c r="D36" s="6" t="s">
        <v>1410</v>
      </c>
      <c r="E36" s="6" t="s">
        <v>1399</v>
      </c>
      <c r="F36" s="6" t="s">
        <v>796</v>
      </c>
      <c r="G36" s="6" t="s">
        <v>797</v>
      </c>
      <c r="H36" s="6" t="s">
        <v>49</v>
      </c>
      <c r="I36" s="6" t="s">
        <v>41</v>
      </c>
      <c r="J36" s="6" t="s">
        <v>1405</v>
      </c>
      <c r="K36" s="6" t="s">
        <v>107</v>
      </c>
      <c r="L36" s="6" t="s">
        <v>794</v>
      </c>
      <c r="M36" s="6" t="s">
        <v>786</v>
      </c>
      <c r="N36" s="6" t="s">
        <v>834</v>
      </c>
      <c r="O36" s="6" t="s">
        <v>774</v>
      </c>
      <c r="P36" s="6"/>
    </row>
    <row r="37" customFormat="false" ht="23.85" hidden="false" customHeight="false" outlineLevel="0" collapsed="false">
      <c r="A37" s="6" t="n">
        <v>36</v>
      </c>
      <c r="B37" s="6" t="s">
        <v>1408</v>
      </c>
      <c r="C37" s="6" t="s">
        <v>1409</v>
      </c>
      <c r="D37" s="6" t="s">
        <v>1410</v>
      </c>
      <c r="E37" s="6" t="s">
        <v>1399</v>
      </c>
      <c r="F37" s="6" t="s">
        <v>805</v>
      </c>
      <c r="G37" s="6" t="s">
        <v>806</v>
      </c>
      <c r="H37" s="6" t="s">
        <v>49</v>
      </c>
      <c r="I37" s="6" t="s">
        <v>41</v>
      </c>
      <c r="J37" s="6" t="s">
        <v>1405</v>
      </c>
      <c r="K37" s="6" t="s">
        <v>107</v>
      </c>
      <c r="L37" s="6" t="s">
        <v>794</v>
      </c>
      <c r="M37" s="6" t="s">
        <v>786</v>
      </c>
      <c r="N37" s="6" t="s">
        <v>812</v>
      </c>
      <c r="O37" s="6" t="s">
        <v>774</v>
      </c>
      <c r="P37" s="6"/>
    </row>
    <row r="38" customFormat="false" ht="23.85" hidden="false" customHeight="false" outlineLevel="0" collapsed="false">
      <c r="A38" s="6" t="n">
        <v>37</v>
      </c>
      <c r="B38" s="6" t="s">
        <v>1408</v>
      </c>
      <c r="C38" s="6" t="s">
        <v>1409</v>
      </c>
      <c r="D38" s="6" t="s">
        <v>1410</v>
      </c>
      <c r="E38" s="6" t="s">
        <v>1399</v>
      </c>
      <c r="F38" s="6" t="s">
        <v>1036</v>
      </c>
      <c r="G38" s="6" t="s">
        <v>1037</v>
      </c>
      <c r="H38" s="6" t="s">
        <v>49</v>
      </c>
      <c r="I38" s="6" t="s">
        <v>41</v>
      </c>
      <c r="J38" s="6" t="s">
        <v>1405</v>
      </c>
      <c r="K38" s="6" t="s">
        <v>917</v>
      </c>
      <c r="L38" s="6"/>
      <c r="M38" s="6" t="s">
        <v>586</v>
      </c>
      <c r="N38" s="6" t="s">
        <v>1043</v>
      </c>
      <c r="O38" s="6"/>
      <c r="P38" s="6"/>
    </row>
    <row r="39" customFormat="false" ht="35.05" hidden="false" customHeight="false" outlineLevel="0" collapsed="false">
      <c r="A39" s="6" t="n">
        <v>38</v>
      </c>
      <c r="B39" s="6" t="s">
        <v>1428</v>
      </c>
      <c r="C39" s="6" t="s">
        <v>1429</v>
      </c>
      <c r="D39" s="6" t="s">
        <v>1430</v>
      </c>
      <c r="E39" s="6" t="s">
        <v>1389</v>
      </c>
      <c r="F39" s="6" t="s">
        <v>110</v>
      </c>
      <c r="G39" s="6" t="s">
        <v>111</v>
      </c>
      <c r="H39" s="6" t="s">
        <v>48</v>
      </c>
      <c r="I39" s="6" t="s">
        <v>41</v>
      </c>
      <c r="J39" s="6" t="s">
        <v>1390</v>
      </c>
      <c r="K39" s="6" t="s">
        <v>120</v>
      </c>
      <c r="L39" s="6" t="s">
        <v>121</v>
      </c>
      <c r="M39" s="6" t="s">
        <v>122</v>
      </c>
      <c r="N39" s="6" t="s">
        <v>119</v>
      </c>
      <c r="O39" s="6"/>
      <c r="P39" s="6"/>
    </row>
    <row r="40" customFormat="false" ht="23.85" hidden="false" customHeight="false" outlineLevel="0" collapsed="false">
      <c r="A40" s="6" t="n">
        <v>39</v>
      </c>
      <c r="B40" s="6" t="s">
        <v>1428</v>
      </c>
      <c r="C40" s="6" t="s">
        <v>1429</v>
      </c>
      <c r="D40" s="6" t="s">
        <v>1430</v>
      </c>
      <c r="E40" s="6" t="s">
        <v>1389</v>
      </c>
      <c r="F40" s="6" t="s">
        <v>245</v>
      </c>
      <c r="G40" s="6" t="s">
        <v>246</v>
      </c>
      <c r="H40" s="6" t="s">
        <v>49</v>
      </c>
      <c r="I40" s="6" t="s">
        <v>41</v>
      </c>
      <c r="J40" s="6" t="s">
        <v>1390</v>
      </c>
      <c r="K40" s="6" t="s">
        <v>254</v>
      </c>
      <c r="L40" s="6" t="s">
        <v>255</v>
      </c>
      <c r="M40" s="6" t="s">
        <v>110</v>
      </c>
      <c r="N40" s="6"/>
      <c r="O40" s="6"/>
      <c r="P40" s="6"/>
    </row>
    <row r="41" customFormat="false" ht="23.85" hidden="false" customHeight="false" outlineLevel="0" collapsed="false">
      <c r="A41" s="6" t="n">
        <v>40</v>
      </c>
      <c r="B41" s="6" t="s">
        <v>1428</v>
      </c>
      <c r="C41" s="6" t="s">
        <v>1429</v>
      </c>
      <c r="D41" s="6" t="s">
        <v>1430</v>
      </c>
      <c r="E41" s="6" t="s">
        <v>1389</v>
      </c>
      <c r="F41" s="6" t="s">
        <v>659</v>
      </c>
      <c r="G41" s="6" t="s">
        <v>664</v>
      </c>
      <c r="H41" s="6" t="s">
        <v>48</v>
      </c>
      <c r="I41" s="6" t="s">
        <v>41</v>
      </c>
      <c r="J41" s="6" t="s">
        <v>1424</v>
      </c>
      <c r="K41" s="6" t="s">
        <v>325</v>
      </c>
      <c r="L41" s="6" t="s">
        <v>661</v>
      </c>
      <c r="M41" s="6" t="s">
        <v>651</v>
      </c>
      <c r="N41" s="6" t="s">
        <v>349</v>
      </c>
      <c r="O41" s="6"/>
      <c r="P41" s="6"/>
    </row>
    <row r="42" customFormat="false" ht="23.85" hidden="false" customHeight="false" outlineLevel="0" collapsed="false">
      <c r="A42" s="6" t="n">
        <v>41</v>
      </c>
      <c r="B42" s="6" t="s">
        <v>1428</v>
      </c>
      <c r="C42" s="6" t="s">
        <v>1429</v>
      </c>
      <c r="D42" s="6" t="s">
        <v>1430</v>
      </c>
      <c r="E42" s="6" t="s">
        <v>1389</v>
      </c>
      <c r="F42" s="6" t="s">
        <v>201</v>
      </c>
      <c r="G42" s="6" t="s">
        <v>202</v>
      </c>
      <c r="H42" s="6" t="s">
        <v>49</v>
      </c>
      <c r="I42" s="6" t="s">
        <v>40</v>
      </c>
      <c r="J42" s="6" t="s">
        <v>1392</v>
      </c>
      <c r="K42" s="6" t="s">
        <v>160</v>
      </c>
      <c r="L42" s="6"/>
      <c r="M42" s="6" t="s">
        <v>186</v>
      </c>
      <c r="N42" s="6"/>
      <c r="O42" s="6"/>
      <c r="P42" s="6"/>
    </row>
    <row r="43" customFormat="false" ht="23.85" hidden="false" customHeight="false" outlineLevel="0" collapsed="false">
      <c r="A43" s="6" t="n">
        <v>42</v>
      </c>
      <c r="B43" s="6" t="s">
        <v>1428</v>
      </c>
      <c r="C43" s="6" t="s">
        <v>1429</v>
      </c>
      <c r="D43" s="6" t="s">
        <v>1430</v>
      </c>
      <c r="E43" s="6" t="s">
        <v>1389</v>
      </c>
      <c r="F43" s="6" t="s">
        <v>349</v>
      </c>
      <c r="G43" s="6" t="s">
        <v>350</v>
      </c>
      <c r="H43" s="6" t="s">
        <v>48</v>
      </c>
      <c r="I43" s="6" t="s">
        <v>42</v>
      </c>
      <c r="J43" s="6" t="s">
        <v>1424</v>
      </c>
      <c r="K43" s="6" t="s">
        <v>120</v>
      </c>
      <c r="L43" s="6" t="s">
        <v>355</v>
      </c>
      <c r="M43" s="6" t="s">
        <v>356</v>
      </c>
      <c r="N43" s="6"/>
      <c r="O43" s="6"/>
      <c r="P43" s="6" t="s">
        <v>1431</v>
      </c>
    </row>
    <row r="44" customFormat="false" ht="23.85" hidden="false" customHeight="false" outlineLevel="0" collapsed="false">
      <c r="A44" s="6" t="n">
        <v>43</v>
      </c>
      <c r="B44" s="6" t="s">
        <v>1428</v>
      </c>
      <c r="C44" s="6" t="s">
        <v>1429</v>
      </c>
      <c r="D44" s="6" t="s">
        <v>1430</v>
      </c>
      <c r="E44" s="6" t="s">
        <v>1389</v>
      </c>
      <c r="F44" s="6" t="s">
        <v>148</v>
      </c>
      <c r="G44" s="6" t="s">
        <v>358</v>
      </c>
      <c r="H44" s="6" t="s">
        <v>48</v>
      </c>
      <c r="I44" s="6" t="s">
        <v>42</v>
      </c>
      <c r="J44" s="6" t="s">
        <v>1394</v>
      </c>
      <c r="K44" s="6" t="s">
        <v>366</v>
      </c>
      <c r="L44" s="6" t="s">
        <v>367</v>
      </c>
      <c r="M44" s="6" t="s">
        <v>138</v>
      </c>
      <c r="N44" s="6"/>
      <c r="O44" s="6"/>
      <c r="P44" s="6"/>
    </row>
    <row r="45" customFormat="false" ht="23.85" hidden="false" customHeight="false" outlineLevel="0" collapsed="false">
      <c r="A45" s="6" t="n">
        <v>44</v>
      </c>
      <c r="B45" s="6" t="s">
        <v>1428</v>
      </c>
      <c r="C45" s="6" t="s">
        <v>1429</v>
      </c>
      <c r="D45" s="6" t="s">
        <v>1430</v>
      </c>
      <c r="E45" s="6" t="s">
        <v>1389</v>
      </c>
      <c r="F45" s="6" t="s">
        <v>454</v>
      </c>
      <c r="G45" s="6" t="s">
        <v>455</v>
      </c>
      <c r="H45" s="6" t="s">
        <v>48</v>
      </c>
      <c r="I45" s="6" t="s">
        <v>41</v>
      </c>
      <c r="J45" s="6" t="s">
        <v>1424</v>
      </c>
      <c r="K45" s="6" t="s">
        <v>325</v>
      </c>
      <c r="L45" s="6" t="s">
        <v>255</v>
      </c>
      <c r="M45" s="6" t="s">
        <v>110</v>
      </c>
      <c r="N45" s="6" t="s">
        <v>461</v>
      </c>
      <c r="O45" s="6"/>
      <c r="P45" s="6"/>
    </row>
    <row r="46" customFormat="false" ht="23.85" hidden="false" customHeight="false" outlineLevel="0" collapsed="false">
      <c r="A46" s="6" t="n">
        <v>45</v>
      </c>
      <c r="B46" s="6" t="s">
        <v>1428</v>
      </c>
      <c r="C46" s="6" t="s">
        <v>1429</v>
      </c>
      <c r="D46" s="6" t="s">
        <v>1430</v>
      </c>
      <c r="E46" s="6" t="s">
        <v>1389</v>
      </c>
      <c r="F46" s="6" t="s">
        <v>308</v>
      </c>
      <c r="G46" s="6" t="s">
        <v>309</v>
      </c>
      <c r="H46" s="6" t="s">
        <v>49</v>
      </c>
      <c r="I46" s="6" t="s">
        <v>40</v>
      </c>
      <c r="J46" s="6" t="s">
        <v>1392</v>
      </c>
      <c r="K46" s="6" t="s">
        <v>316</v>
      </c>
      <c r="L46" s="6" t="s">
        <v>187</v>
      </c>
      <c r="M46" s="6" t="s">
        <v>265</v>
      </c>
      <c r="N46" s="6" t="s">
        <v>1432</v>
      </c>
      <c r="O46" s="6"/>
      <c r="P46" s="6"/>
    </row>
    <row r="47" customFormat="false" ht="23.85" hidden="false" customHeight="false" outlineLevel="0" collapsed="false">
      <c r="A47" s="6" t="n">
        <v>46</v>
      </c>
      <c r="B47" s="6" t="s">
        <v>1428</v>
      </c>
      <c r="C47" s="6" t="s">
        <v>1429</v>
      </c>
      <c r="D47" s="6" t="s">
        <v>1430</v>
      </c>
      <c r="E47" s="6" t="s">
        <v>1389</v>
      </c>
      <c r="F47" s="6" t="s">
        <v>774</v>
      </c>
      <c r="G47" s="6" t="s">
        <v>775</v>
      </c>
      <c r="H47" s="6" t="s">
        <v>49</v>
      </c>
      <c r="I47" s="6" t="s">
        <v>41</v>
      </c>
      <c r="J47" s="6" t="s">
        <v>1405</v>
      </c>
      <c r="K47" s="6" t="s">
        <v>325</v>
      </c>
      <c r="L47" s="6" t="s">
        <v>187</v>
      </c>
      <c r="M47" s="6" t="s">
        <v>265</v>
      </c>
      <c r="N47" s="6" t="s">
        <v>1433</v>
      </c>
      <c r="O47" s="6"/>
      <c r="P47" s="6"/>
    </row>
    <row r="48" customFormat="false" ht="23.85" hidden="false" customHeight="false" outlineLevel="0" collapsed="false">
      <c r="A48" s="6" t="n">
        <v>47</v>
      </c>
      <c r="B48" s="6" t="s">
        <v>1428</v>
      </c>
      <c r="C48" s="6" t="s">
        <v>1429</v>
      </c>
      <c r="D48" s="6" t="s">
        <v>1430</v>
      </c>
      <c r="E48" s="6" t="s">
        <v>1389</v>
      </c>
      <c r="F48" s="6" t="s">
        <v>919</v>
      </c>
      <c r="G48" s="6" t="s">
        <v>920</v>
      </c>
      <c r="H48" s="6" t="s">
        <v>49</v>
      </c>
      <c r="I48" s="6" t="s">
        <v>41</v>
      </c>
      <c r="J48" s="6" t="s">
        <v>1416</v>
      </c>
      <c r="K48" s="6" t="s">
        <v>928</v>
      </c>
      <c r="L48" s="6" t="s">
        <v>187</v>
      </c>
      <c r="M48" s="6" t="s">
        <v>929</v>
      </c>
      <c r="N48" s="6" t="s">
        <v>1434</v>
      </c>
      <c r="O48" s="6"/>
      <c r="P48" s="6"/>
    </row>
    <row r="49" customFormat="false" ht="23.85" hidden="false" customHeight="false" outlineLevel="0" collapsed="false">
      <c r="A49" s="6" t="n">
        <v>48</v>
      </c>
      <c r="B49" s="6" t="s">
        <v>1428</v>
      </c>
      <c r="C49" s="6" t="s">
        <v>1429</v>
      </c>
      <c r="D49" s="6" t="s">
        <v>1430</v>
      </c>
      <c r="E49" s="6" t="s">
        <v>1389</v>
      </c>
      <c r="F49" s="6" t="s">
        <v>497</v>
      </c>
      <c r="G49" s="6" t="s">
        <v>498</v>
      </c>
      <c r="H49" s="6" t="s">
        <v>49</v>
      </c>
      <c r="I49" s="6" t="s">
        <v>41</v>
      </c>
      <c r="J49" s="6" t="s">
        <v>1435</v>
      </c>
      <c r="K49" s="6" t="s">
        <v>325</v>
      </c>
      <c r="L49" s="6" t="s">
        <v>187</v>
      </c>
      <c r="M49" s="6" t="s">
        <v>507</v>
      </c>
      <c r="N49" s="6" t="s">
        <v>1436</v>
      </c>
      <c r="O49" s="6"/>
      <c r="P49" s="6"/>
    </row>
    <row r="50" customFormat="false" ht="23.85" hidden="false" customHeight="false" outlineLevel="0" collapsed="false">
      <c r="A50" s="6" t="n">
        <v>49</v>
      </c>
      <c r="B50" s="6" t="s">
        <v>1428</v>
      </c>
      <c r="C50" s="6" t="s">
        <v>1429</v>
      </c>
      <c r="D50" s="6" t="s">
        <v>1430</v>
      </c>
      <c r="E50" s="6" t="s">
        <v>1389</v>
      </c>
      <c r="F50" s="6" t="s">
        <v>638</v>
      </c>
      <c r="G50" s="6" t="s">
        <v>1298</v>
      </c>
      <c r="H50" s="6" t="s">
        <v>49</v>
      </c>
      <c r="I50" s="6" t="s">
        <v>41</v>
      </c>
      <c r="J50" s="6" t="s">
        <v>1437</v>
      </c>
      <c r="K50" s="6" t="s">
        <v>1279</v>
      </c>
      <c r="L50" s="6" t="s">
        <v>187</v>
      </c>
      <c r="M50" s="6" t="s">
        <v>1307</v>
      </c>
      <c r="N50" s="6"/>
      <c r="O50" s="6"/>
      <c r="P50" s="6"/>
    </row>
    <row r="51" customFormat="false" ht="23.85" hidden="false" customHeight="false" outlineLevel="0" collapsed="false">
      <c r="A51" s="6" t="n">
        <v>50</v>
      </c>
      <c r="B51" s="6" t="s">
        <v>1428</v>
      </c>
      <c r="C51" s="6" t="s">
        <v>1429</v>
      </c>
      <c r="D51" s="6" t="s">
        <v>1430</v>
      </c>
      <c r="E51" s="6" t="s">
        <v>1389</v>
      </c>
      <c r="F51" s="6" t="s">
        <v>858</v>
      </c>
      <c r="G51" s="6" t="s">
        <v>859</v>
      </c>
      <c r="H51" s="6" t="s">
        <v>49</v>
      </c>
      <c r="I51" s="6" t="s">
        <v>40</v>
      </c>
      <c r="J51" s="6" t="s">
        <v>1392</v>
      </c>
      <c r="K51" s="6" t="s">
        <v>160</v>
      </c>
      <c r="L51" s="6" t="s">
        <v>187</v>
      </c>
      <c r="M51" s="6" t="s">
        <v>265</v>
      </c>
      <c r="N51" s="6" t="s">
        <v>865</v>
      </c>
      <c r="O51" s="6"/>
      <c r="P51" s="6"/>
    </row>
    <row r="52" customFormat="false" ht="23.85" hidden="false" customHeight="false" outlineLevel="0" collapsed="false">
      <c r="A52" s="6" t="n">
        <v>51</v>
      </c>
      <c r="B52" s="6" t="s">
        <v>1428</v>
      </c>
      <c r="C52" s="6" t="s">
        <v>1429</v>
      </c>
      <c r="D52" s="6" t="s">
        <v>1430</v>
      </c>
      <c r="E52" s="6" t="s">
        <v>1389</v>
      </c>
      <c r="F52" s="6" t="s">
        <v>257</v>
      </c>
      <c r="G52" s="6" t="s">
        <v>258</v>
      </c>
      <c r="H52" s="6" t="s">
        <v>49</v>
      </c>
      <c r="I52" s="6" t="s">
        <v>40</v>
      </c>
      <c r="J52" s="6" t="s">
        <v>1438</v>
      </c>
      <c r="K52" s="6" t="s">
        <v>243</v>
      </c>
      <c r="L52" s="6" t="s">
        <v>267</v>
      </c>
      <c r="M52" s="6" t="s">
        <v>265</v>
      </c>
      <c r="N52" s="6" t="s">
        <v>266</v>
      </c>
      <c r="O52" s="6"/>
      <c r="P52" s="6"/>
    </row>
    <row r="53" customFormat="false" ht="23.85" hidden="false" customHeight="false" outlineLevel="0" collapsed="false">
      <c r="A53" s="6" t="n">
        <v>52</v>
      </c>
      <c r="B53" s="6" t="s">
        <v>1428</v>
      </c>
      <c r="C53" s="6" t="s">
        <v>1429</v>
      </c>
      <c r="D53" s="6" t="s">
        <v>1430</v>
      </c>
      <c r="E53" s="6" t="s">
        <v>1389</v>
      </c>
      <c r="F53" s="6" t="s">
        <v>269</v>
      </c>
      <c r="G53" s="6" t="s">
        <v>270</v>
      </c>
      <c r="H53" s="6" t="s">
        <v>49</v>
      </c>
      <c r="I53" s="6" t="s">
        <v>41</v>
      </c>
      <c r="J53" s="6" t="s">
        <v>1394</v>
      </c>
      <c r="K53" s="6" t="s">
        <v>277</v>
      </c>
      <c r="L53" s="6"/>
      <c r="M53" s="6" t="s">
        <v>257</v>
      </c>
      <c r="N53" s="6"/>
      <c r="O53" s="6"/>
      <c r="P53" s="6"/>
    </row>
    <row r="54" customFormat="false" ht="23.85" hidden="false" customHeight="false" outlineLevel="0" collapsed="false">
      <c r="A54" s="6" t="n">
        <v>53</v>
      </c>
      <c r="B54" s="6" t="s">
        <v>1428</v>
      </c>
      <c r="C54" s="6" t="s">
        <v>1429</v>
      </c>
      <c r="D54" s="6" t="s">
        <v>1430</v>
      </c>
      <c r="E54" s="6" t="s">
        <v>1389</v>
      </c>
      <c r="F54" s="6" t="s">
        <v>279</v>
      </c>
      <c r="G54" s="6" t="s">
        <v>280</v>
      </c>
      <c r="H54" s="6" t="s">
        <v>49</v>
      </c>
      <c r="I54" s="6" t="s">
        <v>40</v>
      </c>
      <c r="J54" s="6" t="s">
        <v>1438</v>
      </c>
      <c r="K54" s="6" t="s">
        <v>286</v>
      </c>
      <c r="L54" s="6"/>
      <c r="M54" s="6" t="s">
        <v>257</v>
      </c>
      <c r="N54" s="6"/>
      <c r="O54" s="6"/>
      <c r="P54" s="6"/>
    </row>
    <row r="55" customFormat="false" ht="23.85" hidden="false" customHeight="false" outlineLevel="0" collapsed="false">
      <c r="A55" s="6" t="n">
        <v>54</v>
      </c>
      <c r="B55" s="6" t="s">
        <v>1428</v>
      </c>
      <c r="C55" s="6" t="s">
        <v>1429</v>
      </c>
      <c r="D55" s="6" t="s">
        <v>1430</v>
      </c>
      <c r="E55" s="6" t="s">
        <v>1389</v>
      </c>
      <c r="F55" s="6" t="s">
        <v>883</v>
      </c>
      <c r="G55" s="6" t="s">
        <v>884</v>
      </c>
      <c r="H55" s="6" t="s">
        <v>49</v>
      </c>
      <c r="I55" s="6" t="s">
        <v>40</v>
      </c>
      <c r="J55" s="6" t="s">
        <v>1392</v>
      </c>
      <c r="K55" s="6" t="s">
        <v>316</v>
      </c>
      <c r="L55" s="6" t="s">
        <v>893</v>
      </c>
      <c r="M55" s="6" t="s">
        <v>308</v>
      </c>
      <c r="N55" s="6" t="s">
        <v>891</v>
      </c>
      <c r="O55" s="6"/>
      <c r="P55" s="6"/>
    </row>
    <row r="56" customFormat="false" ht="23.85" hidden="false" customHeight="false" outlineLevel="0" collapsed="false">
      <c r="A56" s="6" t="n">
        <v>55</v>
      </c>
      <c r="B56" s="6" t="s">
        <v>1428</v>
      </c>
      <c r="C56" s="6" t="s">
        <v>1429</v>
      </c>
      <c r="D56" s="6" t="s">
        <v>1430</v>
      </c>
      <c r="E56" s="6" t="s">
        <v>1389</v>
      </c>
      <c r="F56" s="6" t="s">
        <v>327</v>
      </c>
      <c r="G56" s="6" t="s">
        <v>328</v>
      </c>
      <c r="H56" s="6" t="s">
        <v>49</v>
      </c>
      <c r="I56" s="6" t="s">
        <v>40</v>
      </c>
      <c r="J56" s="6" t="s">
        <v>1392</v>
      </c>
      <c r="K56" s="6" t="s">
        <v>160</v>
      </c>
      <c r="L56" s="6"/>
      <c r="M56" s="6" t="s">
        <v>265</v>
      </c>
      <c r="N56" s="6" t="s">
        <v>334</v>
      </c>
      <c r="O56" s="6"/>
      <c r="P56" s="6"/>
    </row>
    <row r="57" customFormat="false" ht="23.85" hidden="false" customHeight="false" outlineLevel="0" collapsed="false">
      <c r="A57" s="6" t="n">
        <v>56</v>
      </c>
      <c r="B57" s="6" t="s">
        <v>1428</v>
      </c>
      <c r="C57" s="6" t="s">
        <v>1429</v>
      </c>
      <c r="D57" s="6" t="s">
        <v>1430</v>
      </c>
      <c r="E57" s="6" t="s">
        <v>1389</v>
      </c>
      <c r="F57" s="6" t="s">
        <v>336</v>
      </c>
      <c r="G57" s="6" t="s">
        <v>337</v>
      </c>
      <c r="H57" s="6" t="s">
        <v>49</v>
      </c>
      <c r="I57" s="6" t="s">
        <v>40</v>
      </c>
      <c r="J57" s="6" t="s">
        <v>1392</v>
      </c>
      <c r="K57" s="6" t="s">
        <v>160</v>
      </c>
      <c r="L57" s="6"/>
      <c r="M57" s="6" t="s">
        <v>327</v>
      </c>
      <c r="N57" s="6"/>
      <c r="O57" s="6"/>
      <c r="P57" s="6"/>
    </row>
    <row r="58" customFormat="false" ht="23.85" hidden="false" customHeight="false" outlineLevel="0" collapsed="false">
      <c r="A58" s="6" t="n">
        <v>57</v>
      </c>
      <c r="B58" s="6" t="s">
        <v>1428</v>
      </c>
      <c r="C58" s="6" t="s">
        <v>1429</v>
      </c>
      <c r="D58" s="6" t="s">
        <v>1430</v>
      </c>
      <c r="E58" s="6" t="s">
        <v>1389</v>
      </c>
      <c r="F58" s="6" t="s">
        <v>342</v>
      </c>
      <c r="G58" s="6" t="s">
        <v>343</v>
      </c>
      <c r="H58" s="6" t="s">
        <v>49</v>
      </c>
      <c r="I58" s="6" t="s">
        <v>40</v>
      </c>
      <c r="J58" s="6" t="s">
        <v>1392</v>
      </c>
      <c r="K58" s="6" t="s">
        <v>160</v>
      </c>
      <c r="L58" s="6"/>
      <c r="M58" s="6" t="s">
        <v>327</v>
      </c>
      <c r="N58" s="6"/>
      <c r="O58" s="6"/>
      <c r="P58" s="6"/>
    </row>
    <row r="59" customFormat="false" ht="35.05" hidden="false" customHeight="false" outlineLevel="0" collapsed="false">
      <c r="A59" s="6" t="n">
        <v>58</v>
      </c>
      <c r="B59" s="6" t="s">
        <v>1428</v>
      </c>
      <c r="C59" s="6" t="s">
        <v>1429</v>
      </c>
      <c r="D59" s="6" t="s">
        <v>1430</v>
      </c>
      <c r="E59" s="6" t="s">
        <v>1389</v>
      </c>
      <c r="F59" s="6" t="s">
        <v>425</v>
      </c>
      <c r="G59" s="6" t="s">
        <v>426</v>
      </c>
      <c r="H59" s="6" t="s">
        <v>48</v>
      </c>
      <c r="I59" s="6" t="s">
        <v>41</v>
      </c>
      <c r="J59" s="6" t="s">
        <v>1418</v>
      </c>
      <c r="K59" s="6" t="s">
        <v>434</v>
      </c>
      <c r="L59" s="6"/>
      <c r="M59" s="6" t="s">
        <v>369</v>
      </c>
      <c r="N59" s="6"/>
      <c r="O59" s="6" t="s">
        <v>537</v>
      </c>
      <c r="P59" s="6"/>
    </row>
    <row r="60" customFormat="false" ht="23.85" hidden="false" customHeight="false" outlineLevel="0" collapsed="false">
      <c r="A60" s="6" t="n">
        <v>59</v>
      </c>
      <c r="B60" s="6" t="s">
        <v>1428</v>
      </c>
      <c r="C60" s="6" t="s">
        <v>1429</v>
      </c>
      <c r="D60" s="6" t="s">
        <v>1430</v>
      </c>
      <c r="E60" s="6" t="s">
        <v>1389</v>
      </c>
      <c r="F60" s="6" t="s">
        <v>415</v>
      </c>
      <c r="G60" s="6" t="s">
        <v>416</v>
      </c>
      <c r="H60" s="6" t="s">
        <v>49</v>
      </c>
      <c r="I60" s="6" t="s">
        <v>41</v>
      </c>
      <c r="J60" s="6" t="s">
        <v>1416</v>
      </c>
      <c r="K60" s="6" t="s">
        <v>390</v>
      </c>
      <c r="L60" s="6" t="s">
        <v>267</v>
      </c>
      <c r="M60" s="6" t="s">
        <v>369</v>
      </c>
      <c r="N60" s="6" t="s">
        <v>419</v>
      </c>
      <c r="O60" s="6"/>
      <c r="P60" s="6"/>
    </row>
    <row r="61" customFormat="false" ht="23.85" hidden="false" customHeight="false" outlineLevel="0" collapsed="false">
      <c r="A61" s="6" t="n">
        <v>60</v>
      </c>
      <c r="B61" s="6" t="s">
        <v>1428</v>
      </c>
      <c r="C61" s="6" t="s">
        <v>1429</v>
      </c>
      <c r="D61" s="6" t="s">
        <v>1430</v>
      </c>
      <c r="E61" s="6" t="s">
        <v>1389</v>
      </c>
      <c r="F61" s="6" t="s">
        <v>419</v>
      </c>
      <c r="G61" s="6" t="s">
        <v>421</v>
      </c>
      <c r="H61" s="6" t="s">
        <v>49</v>
      </c>
      <c r="I61" s="6" t="s">
        <v>40</v>
      </c>
      <c r="J61" s="6" t="s">
        <v>1392</v>
      </c>
      <c r="K61" s="6" t="s">
        <v>160</v>
      </c>
      <c r="L61" s="6"/>
      <c r="M61" s="6" t="s">
        <v>415</v>
      </c>
      <c r="N61" s="6"/>
      <c r="O61" s="6"/>
      <c r="P61" s="6"/>
    </row>
    <row r="62" customFormat="false" ht="23.85" hidden="false" customHeight="false" outlineLevel="0" collapsed="false">
      <c r="A62" s="6" t="n">
        <v>61</v>
      </c>
      <c r="B62" s="6" t="s">
        <v>1428</v>
      </c>
      <c r="C62" s="6" t="s">
        <v>1429</v>
      </c>
      <c r="D62" s="6" t="s">
        <v>1430</v>
      </c>
      <c r="E62" s="6" t="s">
        <v>1389</v>
      </c>
      <c r="F62" s="6" t="s">
        <v>400</v>
      </c>
      <c r="G62" s="6" t="s">
        <v>401</v>
      </c>
      <c r="H62" s="6" t="s">
        <v>49</v>
      </c>
      <c r="I62" s="6" t="s">
        <v>41</v>
      </c>
      <c r="J62" s="6" t="s">
        <v>1416</v>
      </c>
      <c r="K62" s="6" t="s">
        <v>390</v>
      </c>
      <c r="L62" s="6" t="s">
        <v>267</v>
      </c>
      <c r="M62" s="6" t="s">
        <v>369</v>
      </c>
      <c r="N62" s="6" t="s">
        <v>406</v>
      </c>
      <c r="O62" s="6"/>
      <c r="P62" s="6"/>
    </row>
    <row r="63" customFormat="false" ht="23.85" hidden="false" customHeight="false" outlineLevel="0" collapsed="false">
      <c r="A63" s="6" t="n">
        <v>62</v>
      </c>
      <c r="B63" s="6" t="s">
        <v>1428</v>
      </c>
      <c r="C63" s="6" t="s">
        <v>1429</v>
      </c>
      <c r="D63" s="6" t="s">
        <v>1430</v>
      </c>
      <c r="E63" s="6" t="s">
        <v>1389</v>
      </c>
      <c r="F63" s="6" t="s">
        <v>406</v>
      </c>
      <c r="G63" s="6" t="s">
        <v>409</v>
      </c>
      <c r="H63" s="6" t="s">
        <v>49</v>
      </c>
      <c r="I63" s="6" t="s">
        <v>41</v>
      </c>
      <c r="J63" s="6" t="s">
        <v>1416</v>
      </c>
      <c r="K63" s="6" t="s">
        <v>390</v>
      </c>
      <c r="L63" s="6" t="s">
        <v>413</v>
      </c>
      <c r="M63" s="6" t="s">
        <v>400</v>
      </c>
      <c r="N63" s="6"/>
      <c r="O63" s="6"/>
      <c r="P63" s="6"/>
    </row>
    <row r="64" customFormat="false" ht="35.05" hidden="false" customHeight="false" outlineLevel="0" collapsed="false">
      <c r="A64" s="6" t="n">
        <v>63</v>
      </c>
      <c r="B64" s="6" t="s">
        <v>1439</v>
      </c>
      <c r="C64" s="6" t="s">
        <v>1440</v>
      </c>
      <c r="D64" s="6" t="s">
        <v>1441</v>
      </c>
      <c r="E64" s="6" t="s">
        <v>1389</v>
      </c>
      <c r="F64" s="6" t="s">
        <v>577</v>
      </c>
      <c r="G64" s="6" t="s">
        <v>578</v>
      </c>
      <c r="H64" s="6" t="s">
        <v>49</v>
      </c>
      <c r="I64" s="6" t="s">
        <v>40</v>
      </c>
      <c r="J64" s="6" t="s">
        <v>1412</v>
      </c>
      <c r="K64" s="6" t="s">
        <v>160</v>
      </c>
      <c r="L64" s="6"/>
      <c r="M64" s="6" t="s">
        <v>564</v>
      </c>
      <c r="N64" s="6" t="s">
        <v>584</v>
      </c>
      <c r="O64" s="6"/>
      <c r="P64" s="6"/>
    </row>
    <row r="65" customFormat="false" ht="23.85" hidden="false" customHeight="false" outlineLevel="0" collapsed="false">
      <c r="A65" s="6" t="n">
        <v>64</v>
      </c>
      <c r="B65" s="6" t="s">
        <v>1439</v>
      </c>
      <c r="C65" s="6" t="s">
        <v>1440</v>
      </c>
      <c r="D65" s="6" t="s">
        <v>1441</v>
      </c>
      <c r="E65" s="6" t="s">
        <v>1389</v>
      </c>
      <c r="F65" s="6" t="s">
        <v>584</v>
      </c>
      <c r="G65" s="6" t="s">
        <v>643</v>
      </c>
      <c r="H65" s="6" t="s">
        <v>49</v>
      </c>
      <c r="I65" s="6" t="s">
        <v>40</v>
      </c>
      <c r="J65" s="6" t="s">
        <v>1392</v>
      </c>
      <c r="K65" s="6" t="s">
        <v>160</v>
      </c>
      <c r="L65" s="6"/>
      <c r="M65" s="6" t="s">
        <v>577</v>
      </c>
      <c r="N65" s="6"/>
      <c r="O65" s="6"/>
      <c r="P65" s="6"/>
    </row>
    <row r="66" customFormat="false" ht="23.85" hidden="false" customHeight="false" outlineLevel="0" collapsed="false">
      <c r="A66" s="6" t="n">
        <v>65</v>
      </c>
      <c r="B66" s="6" t="s">
        <v>1439</v>
      </c>
      <c r="C66" s="6" t="s">
        <v>1440</v>
      </c>
      <c r="D66" s="6" t="s">
        <v>1441</v>
      </c>
      <c r="E66" s="6" t="s">
        <v>1389</v>
      </c>
      <c r="F66" s="6" t="s">
        <v>680</v>
      </c>
      <c r="G66" s="6" t="s">
        <v>681</v>
      </c>
      <c r="H66" s="6" t="s">
        <v>49</v>
      </c>
      <c r="I66" s="6" t="s">
        <v>41</v>
      </c>
      <c r="J66" s="6" t="s">
        <v>1405</v>
      </c>
      <c r="K66" s="6" t="s">
        <v>325</v>
      </c>
      <c r="L66" s="6" t="s">
        <v>688</v>
      </c>
      <c r="M66" s="6" t="s">
        <v>265</v>
      </c>
      <c r="N66" s="6" t="s">
        <v>687</v>
      </c>
      <c r="O66" s="6"/>
      <c r="P66" s="6"/>
    </row>
    <row r="67" customFormat="false" ht="23.85" hidden="false" customHeight="false" outlineLevel="0" collapsed="false">
      <c r="A67" s="6" t="n">
        <v>66</v>
      </c>
      <c r="B67" s="6" t="s">
        <v>1439</v>
      </c>
      <c r="C67" s="6" t="s">
        <v>1440</v>
      </c>
      <c r="D67" s="6" t="s">
        <v>1441</v>
      </c>
      <c r="E67" s="6" t="s">
        <v>1389</v>
      </c>
      <c r="F67" s="6" t="s">
        <v>690</v>
      </c>
      <c r="G67" s="6" t="s">
        <v>691</v>
      </c>
      <c r="H67" s="6" t="s">
        <v>49</v>
      </c>
      <c r="I67" s="6" t="s">
        <v>41</v>
      </c>
      <c r="J67" s="6" t="s">
        <v>1405</v>
      </c>
      <c r="K67" s="6" t="s">
        <v>696</v>
      </c>
      <c r="L67" s="6" t="s">
        <v>688</v>
      </c>
      <c r="M67" s="6" t="s">
        <v>680</v>
      </c>
      <c r="N67" s="6" t="s">
        <v>695</v>
      </c>
      <c r="O67" s="6"/>
      <c r="P67" s="6"/>
    </row>
    <row r="68" customFormat="false" ht="23.85" hidden="false" customHeight="false" outlineLevel="0" collapsed="false">
      <c r="A68" s="6" t="n">
        <v>67</v>
      </c>
      <c r="B68" s="6" t="s">
        <v>1439</v>
      </c>
      <c r="C68" s="6" t="s">
        <v>1440</v>
      </c>
      <c r="D68" s="6" t="s">
        <v>1441</v>
      </c>
      <c r="E68" s="6" t="s">
        <v>1389</v>
      </c>
      <c r="F68" s="6" t="s">
        <v>698</v>
      </c>
      <c r="G68" s="6" t="s">
        <v>699</v>
      </c>
      <c r="H68" s="6" t="s">
        <v>49</v>
      </c>
      <c r="I68" s="6" t="s">
        <v>40</v>
      </c>
      <c r="J68" s="6" t="s">
        <v>1403</v>
      </c>
      <c r="K68" s="6" t="s">
        <v>160</v>
      </c>
      <c r="L68" s="6"/>
      <c r="M68" s="6" t="s">
        <v>690</v>
      </c>
      <c r="N68" s="6"/>
      <c r="O68" s="6"/>
      <c r="P68" s="6"/>
    </row>
    <row r="69" customFormat="false" ht="23.85" hidden="false" customHeight="false" outlineLevel="0" collapsed="false">
      <c r="A69" s="6" t="n">
        <v>68</v>
      </c>
      <c r="B69" s="6" t="s">
        <v>1439</v>
      </c>
      <c r="C69" s="6" t="s">
        <v>1440</v>
      </c>
      <c r="D69" s="6" t="s">
        <v>1441</v>
      </c>
      <c r="E69" s="6" t="s">
        <v>1389</v>
      </c>
      <c r="F69" s="6" t="s">
        <v>705</v>
      </c>
      <c r="G69" s="6" t="s">
        <v>706</v>
      </c>
      <c r="H69" s="6" t="s">
        <v>49</v>
      </c>
      <c r="I69" s="6" t="s">
        <v>42</v>
      </c>
      <c r="J69" s="6" t="s">
        <v>1442</v>
      </c>
      <c r="K69" s="6" t="s">
        <v>173</v>
      </c>
      <c r="L69" s="6" t="s">
        <v>688</v>
      </c>
      <c r="M69" s="6" t="s">
        <v>680</v>
      </c>
      <c r="N69" s="6" t="s">
        <v>712</v>
      </c>
      <c r="O69" s="6"/>
      <c r="P69" s="6"/>
    </row>
    <row r="70" customFormat="false" ht="35.05" hidden="false" customHeight="false" outlineLevel="0" collapsed="false">
      <c r="A70" s="6" t="n">
        <v>69</v>
      </c>
      <c r="B70" s="6" t="s">
        <v>1439</v>
      </c>
      <c r="C70" s="6" t="s">
        <v>1440</v>
      </c>
      <c r="D70" s="6" t="s">
        <v>1441</v>
      </c>
      <c r="E70" s="6" t="s">
        <v>1389</v>
      </c>
      <c r="F70" s="6" t="s">
        <v>712</v>
      </c>
      <c r="G70" s="6" t="s">
        <v>714</v>
      </c>
      <c r="H70" s="6" t="s">
        <v>49</v>
      </c>
      <c r="I70" s="6" t="s">
        <v>42</v>
      </c>
      <c r="J70" s="6" t="s">
        <v>1443</v>
      </c>
      <c r="K70" s="6" t="s">
        <v>366</v>
      </c>
      <c r="L70" s="6" t="s">
        <v>688</v>
      </c>
      <c r="M70" s="6" t="s">
        <v>705</v>
      </c>
      <c r="N70" s="6"/>
      <c r="O70" s="6"/>
      <c r="P70" s="6"/>
    </row>
    <row r="71" customFormat="false" ht="23.85" hidden="false" customHeight="false" outlineLevel="0" collapsed="false">
      <c r="A71" s="6" t="n">
        <v>70</v>
      </c>
      <c r="B71" s="6" t="s">
        <v>1439</v>
      </c>
      <c r="C71" s="6" t="s">
        <v>1440</v>
      </c>
      <c r="D71" s="6" t="s">
        <v>1441</v>
      </c>
      <c r="E71" s="6" t="s">
        <v>1389</v>
      </c>
      <c r="F71" s="6" t="s">
        <v>931</v>
      </c>
      <c r="G71" s="6" t="s">
        <v>932</v>
      </c>
      <c r="H71" s="6" t="s">
        <v>49</v>
      </c>
      <c r="I71" s="6" t="s">
        <v>41</v>
      </c>
      <c r="J71" s="6" t="s">
        <v>1416</v>
      </c>
      <c r="K71" s="6" t="s">
        <v>928</v>
      </c>
      <c r="L71" s="6" t="s">
        <v>267</v>
      </c>
      <c r="M71" s="6" t="s">
        <v>919</v>
      </c>
      <c r="N71" s="6" t="s">
        <v>977</v>
      </c>
      <c r="O71" s="6"/>
      <c r="P71" s="6"/>
    </row>
    <row r="72" customFormat="false" ht="23.85" hidden="false" customHeight="false" outlineLevel="0" collapsed="false">
      <c r="A72" s="6" t="n">
        <v>71</v>
      </c>
      <c r="B72" s="6" t="s">
        <v>1439</v>
      </c>
      <c r="C72" s="6" t="s">
        <v>1440</v>
      </c>
      <c r="D72" s="6" t="s">
        <v>1441</v>
      </c>
      <c r="E72" s="6" t="s">
        <v>1389</v>
      </c>
      <c r="F72" s="6" t="s">
        <v>937</v>
      </c>
      <c r="G72" s="6" t="s">
        <v>938</v>
      </c>
      <c r="H72" s="6" t="s">
        <v>49</v>
      </c>
      <c r="I72" s="6" t="s">
        <v>42</v>
      </c>
      <c r="J72" s="6" t="s">
        <v>1405</v>
      </c>
      <c r="K72" s="6" t="s">
        <v>325</v>
      </c>
      <c r="L72" s="6" t="s">
        <v>267</v>
      </c>
      <c r="M72" s="6" t="s">
        <v>919</v>
      </c>
      <c r="N72" s="6"/>
      <c r="O72" s="6"/>
      <c r="P72" s="6"/>
    </row>
    <row r="73" customFormat="false" ht="35.05" hidden="false" customHeight="false" outlineLevel="0" collapsed="false">
      <c r="A73" s="6" t="n">
        <v>72</v>
      </c>
      <c r="B73" s="6" t="s">
        <v>1439</v>
      </c>
      <c r="C73" s="6" t="s">
        <v>1440</v>
      </c>
      <c r="D73" s="6" t="s">
        <v>1441</v>
      </c>
      <c r="E73" s="6" t="s">
        <v>1389</v>
      </c>
      <c r="F73" s="6" t="s">
        <v>969</v>
      </c>
      <c r="G73" s="6" t="s">
        <v>970</v>
      </c>
      <c r="H73" s="6" t="s">
        <v>49</v>
      </c>
      <c r="I73" s="6" t="s">
        <v>41</v>
      </c>
      <c r="J73" s="6" t="s">
        <v>1418</v>
      </c>
      <c r="K73" s="6" t="s">
        <v>379</v>
      </c>
      <c r="L73" s="6" t="s">
        <v>267</v>
      </c>
      <c r="M73" s="6" t="s">
        <v>919</v>
      </c>
      <c r="N73" s="6"/>
      <c r="O73" s="6"/>
      <c r="P73" s="6"/>
    </row>
    <row r="74" customFormat="false" ht="23.85" hidden="false" customHeight="false" outlineLevel="0" collapsed="false">
      <c r="A74" s="6" t="n">
        <v>73</v>
      </c>
      <c r="B74" s="6" t="s">
        <v>1439</v>
      </c>
      <c r="C74" s="6" t="s">
        <v>1440</v>
      </c>
      <c r="D74" s="6" t="s">
        <v>1441</v>
      </c>
      <c r="E74" s="6" t="s">
        <v>1389</v>
      </c>
      <c r="F74" s="6" t="s">
        <v>984</v>
      </c>
      <c r="G74" s="6" t="s">
        <v>985</v>
      </c>
      <c r="H74" s="6" t="s">
        <v>49</v>
      </c>
      <c r="I74" s="6" t="s">
        <v>41</v>
      </c>
      <c r="J74" s="6" t="s">
        <v>1405</v>
      </c>
      <c r="K74" s="6" t="s">
        <v>107</v>
      </c>
      <c r="L74" s="6" t="s">
        <v>267</v>
      </c>
      <c r="M74" s="6" t="s">
        <v>308</v>
      </c>
      <c r="N74" s="6"/>
      <c r="O74" s="6"/>
      <c r="P74" s="6"/>
    </row>
    <row r="75" customFormat="false" ht="23.85" hidden="false" customHeight="false" outlineLevel="0" collapsed="false">
      <c r="A75" s="6" t="n">
        <v>74</v>
      </c>
      <c r="B75" s="6" t="s">
        <v>1439</v>
      </c>
      <c r="C75" s="6" t="s">
        <v>1440</v>
      </c>
      <c r="D75" s="6" t="s">
        <v>1441</v>
      </c>
      <c r="E75" s="6" t="s">
        <v>1389</v>
      </c>
      <c r="F75" s="6" t="s">
        <v>993</v>
      </c>
      <c r="G75" s="6" t="s">
        <v>994</v>
      </c>
      <c r="H75" s="6" t="s">
        <v>49</v>
      </c>
      <c r="I75" s="6" t="s">
        <v>41</v>
      </c>
      <c r="J75" s="6" t="s">
        <v>1405</v>
      </c>
      <c r="K75" s="6" t="s">
        <v>107</v>
      </c>
      <c r="L75" s="6" t="s">
        <v>1001</v>
      </c>
      <c r="M75" s="6" t="s">
        <v>586</v>
      </c>
      <c r="N75" s="6"/>
      <c r="O75" s="6"/>
      <c r="P75" s="6"/>
    </row>
    <row r="76" customFormat="false" ht="35.05" hidden="false" customHeight="false" outlineLevel="0" collapsed="false">
      <c r="A76" s="6" t="n">
        <v>75</v>
      </c>
      <c r="B76" s="6" t="s">
        <v>1439</v>
      </c>
      <c r="C76" s="6" t="s">
        <v>1440</v>
      </c>
      <c r="D76" s="6" t="s">
        <v>1441</v>
      </c>
      <c r="E76" s="6" t="s">
        <v>1389</v>
      </c>
      <c r="F76" s="6" t="s">
        <v>1003</v>
      </c>
      <c r="G76" s="6" t="s">
        <v>1004</v>
      </c>
      <c r="H76" s="6" t="s">
        <v>49</v>
      </c>
      <c r="I76" s="6" t="s">
        <v>40</v>
      </c>
      <c r="J76" s="6" t="s">
        <v>1412</v>
      </c>
      <c r="K76" s="6" t="s">
        <v>160</v>
      </c>
      <c r="L76" s="6" t="s">
        <v>1011</v>
      </c>
      <c r="M76" s="6" t="s">
        <v>265</v>
      </c>
      <c r="N76" s="6" t="s">
        <v>1010</v>
      </c>
      <c r="O76" s="6"/>
      <c r="P76" s="6"/>
    </row>
    <row r="77" customFormat="false" ht="23.85" hidden="false" customHeight="false" outlineLevel="0" collapsed="false">
      <c r="A77" s="6" t="n">
        <v>76</v>
      </c>
      <c r="B77" s="6" t="s">
        <v>1439</v>
      </c>
      <c r="C77" s="6" t="s">
        <v>1440</v>
      </c>
      <c r="D77" s="6" t="s">
        <v>1441</v>
      </c>
      <c r="E77" s="6" t="s">
        <v>1389</v>
      </c>
      <c r="F77" s="6" t="s">
        <v>1010</v>
      </c>
      <c r="G77" s="6" t="s">
        <v>1013</v>
      </c>
      <c r="H77" s="6" t="s">
        <v>49</v>
      </c>
      <c r="I77" s="6" t="s">
        <v>40</v>
      </c>
      <c r="J77" s="6" t="s">
        <v>1392</v>
      </c>
      <c r="K77" s="6" t="s">
        <v>160</v>
      </c>
      <c r="L77" s="6" t="s">
        <v>1011</v>
      </c>
      <c r="M77" s="6" t="s">
        <v>1003</v>
      </c>
      <c r="N77" s="6"/>
      <c r="O77" s="6"/>
      <c r="P77" s="6"/>
    </row>
    <row r="78" customFormat="false" ht="23.85" hidden="false" customHeight="false" outlineLevel="0" collapsed="false">
      <c r="A78" s="6" t="n">
        <v>77</v>
      </c>
      <c r="B78" s="6" t="s">
        <v>1439</v>
      </c>
      <c r="C78" s="6" t="s">
        <v>1440</v>
      </c>
      <c r="D78" s="6" t="s">
        <v>1441</v>
      </c>
      <c r="E78" s="6" t="s">
        <v>1389</v>
      </c>
      <c r="F78" s="6" t="s">
        <v>1017</v>
      </c>
      <c r="G78" s="6" t="s">
        <v>1018</v>
      </c>
      <c r="H78" s="6" t="s">
        <v>49</v>
      </c>
      <c r="I78" s="6" t="s">
        <v>40</v>
      </c>
      <c r="J78" s="6" t="s">
        <v>1403</v>
      </c>
      <c r="K78" s="6" t="s">
        <v>160</v>
      </c>
      <c r="L78" s="6"/>
      <c r="M78" s="6" t="s">
        <v>680</v>
      </c>
      <c r="N78" s="6"/>
      <c r="O78" s="6"/>
      <c r="P78" s="6"/>
    </row>
    <row r="79" customFormat="false" ht="35.05" hidden="false" customHeight="false" outlineLevel="0" collapsed="false">
      <c r="A79" s="6" t="n">
        <v>78</v>
      </c>
      <c r="B79" s="6" t="s">
        <v>1439</v>
      </c>
      <c r="C79" s="6" t="s">
        <v>1440</v>
      </c>
      <c r="D79" s="6" t="s">
        <v>1441</v>
      </c>
      <c r="E79" s="6" t="s">
        <v>1389</v>
      </c>
      <c r="F79" s="6" t="s">
        <v>1025</v>
      </c>
      <c r="G79" s="6" t="s">
        <v>1026</v>
      </c>
      <c r="H79" s="6" t="s">
        <v>49</v>
      </c>
      <c r="I79" s="6" t="s">
        <v>41</v>
      </c>
      <c r="J79" s="6" t="s">
        <v>1444</v>
      </c>
      <c r="K79" s="6" t="s">
        <v>325</v>
      </c>
      <c r="L79" s="6" t="s">
        <v>1034</v>
      </c>
      <c r="M79" s="6" t="s">
        <v>138</v>
      </c>
      <c r="N79" s="6" t="s">
        <v>1110</v>
      </c>
      <c r="O79" s="6"/>
      <c r="P79" s="6"/>
    </row>
    <row r="80" customFormat="false" ht="35.05" hidden="false" customHeight="false" outlineLevel="0" collapsed="false">
      <c r="A80" s="6" t="n">
        <v>79</v>
      </c>
      <c r="B80" s="6" t="s">
        <v>1439</v>
      </c>
      <c r="C80" s="6" t="s">
        <v>1440</v>
      </c>
      <c r="D80" s="6" t="s">
        <v>1441</v>
      </c>
      <c r="E80" s="6" t="s">
        <v>1389</v>
      </c>
      <c r="F80" s="6" t="s">
        <v>1043</v>
      </c>
      <c r="G80" s="6" t="s">
        <v>1045</v>
      </c>
      <c r="H80" s="6" t="s">
        <v>49</v>
      </c>
      <c r="I80" s="6" t="s">
        <v>40</v>
      </c>
      <c r="J80" s="6" t="s">
        <v>1412</v>
      </c>
      <c r="K80" s="6" t="s">
        <v>160</v>
      </c>
      <c r="L80" s="6"/>
      <c r="M80" s="6" t="s">
        <v>1036</v>
      </c>
      <c r="N80" s="6"/>
      <c r="O80" s="6"/>
      <c r="P80" s="6"/>
    </row>
    <row r="81" customFormat="false" ht="23.85" hidden="false" customHeight="false" outlineLevel="0" collapsed="false">
      <c r="A81" s="6" t="n">
        <v>80</v>
      </c>
      <c r="B81" s="6" t="s">
        <v>1439</v>
      </c>
      <c r="C81" s="6" t="s">
        <v>1440</v>
      </c>
      <c r="D81" s="6" t="s">
        <v>1441</v>
      </c>
      <c r="E81" s="6" t="s">
        <v>1389</v>
      </c>
      <c r="F81" s="6" t="s">
        <v>1052</v>
      </c>
      <c r="G81" s="6" t="s">
        <v>1053</v>
      </c>
      <c r="H81" s="6" t="s">
        <v>49</v>
      </c>
      <c r="I81" s="6" t="s">
        <v>42</v>
      </c>
      <c r="J81" s="6" t="s">
        <v>1405</v>
      </c>
      <c r="K81" s="6" t="s">
        <v>120</v>
      </c>
      <c r="L81" s="6" t="s">
        <v>267</v>
      </c>
      <c r="M81" s="6" t="s">
        <v>265</v>
      </c>
      <c r="N81" s="6"/>
      <c r="O81" s="6"/>
      <c r="P81" s="6"/>
    </row>
    <row r="82" customFormat="false" ht="23.85" hidden="false" customHeight="false" outlineLevel="0" collapsed="false">
      <c r="A82" s="6" t="n">
        <v>81</v>
      </c>
      <c r="B82" s="6" t="s">
        <v>1439</v>
      </c>
      <c r="C82" s="6" t="s">
        <v>1440</v>
      </c>
      <c r="D82" s="6" t="s">
        <v>1441</v>
      </c>
      <c r="E82" s="6" t="s">
        <v>1389</v>
      </c>
      <c r="F82" s="6" t="s">
        <v>1061</v>
      </c>
      <c r="G82" s="6" t="s">
        <v>1062</v>
      </c>
      <c r="H82" s="6" t="s">
        <v>49</v>
      </c>
      <c r="I82" s="6" t="s">
        <v>42</v>
      </c>
      <c r="J82" s="6" t="s">
        <v>1405</v>
      </c>
      <c r="K82" s="6" t="s">
        <v>120</v>
      </c>
      <c r="L82" s="6" t="s">
        <v>1001</v>
      </c>
      <c r="M82" s="6" t="s">
        <v>497</v>
      </c>
      <c r="N82" s="6"/>
      <c r="O82" s="6"/>
      <c r="P82" s="6"/>
    </row>
    <row r="83" customFormat="false" ht="23.85" hidden="false" customHeight="false" outlineLevel="0" collapsed="false">
      <c r="A83" s="6" t="n">
        <v>82</v>
      </c>
      <c r="B83" s="6" t="s">
        <v>1439</v>
      </c>
      <c r="C83" s="6" t="s">
        <v>1440</v>
      </c>
      <c r="D83" s="6" t="s">
        <v>1441</v>
      </c>
      <c r="E83" s="6" t="s">
        <v>1389</v>
      </c>
      <c r="F83" s="6" t="s">
        <v>1079</v>
      </c>
      <c r="G83" s="6" t="s">
        <v>1080</v>
      </c>
      <c r="H83" s="6" t="s">
        <v>49</v>
      </c>
      <c r="I83" s="6" t="s">
        <v>41</v>
      </c>
      <c r="J83" s="6" t="s">
        <v>1405</v>
      </c>
      <c r="K83" s="6" t="s">
        <v>107</v>
      </c>
      <c r="L83" s="6" t="s">
        <v>1001</v>
      </c>
      <c r="M83" s="6" t="s">
        <v>612</v>
      </c>
      <c r="N83" s="6" t="s">
        <v>1087</v>
      </c>
      <c r="O83" s="6"/>
      <c r="P83" s="6"/>
    </row>
    <row r="84" customFormat="false" ht="23.85" hidden="false" customHeight="false" outlineLevel="0" collapsed="false">
      <c r="A84" s="6" t="n">
        <v>83</v>
      </c>
      <c r="B84" s="6" t="s">
        <v>1439</v>
      </c>
      <c r="C84" s="6" t="s">
        <v>1440</v>
      </c>
      <c r="D84" s="6" t="s">
        <v>1441</v>
      </c>
      <c r="E84" s="6" t="s">
        <v>1389</v>
      </c>
      <c r="F84" s="6" t="s">
        <v>1087</v>
      </c>
      <c r="G84" s="6" t="s">
        <v>1089</v>
      </c>
      <c r="H84" s="6" t="s">
        <v>49</v>
      </c>
      <c r="I84" s="6" t="s">
        <v>40</v>
      </c>
      <c r="J84" s="6" t="s">
        <v>1403</v>
      </c>
      <c r="K84" s="6" t="s">
        <v>160</v>
      </c>
      <c r="L84" s="6" t="s">
        <v>1011</v>
      </c>
      <c r="M84" s="6" t="s">
        <v>1079</v>
      </c>
      <c r="N84" s="6" t="s">
        <v>1094</v>
      </c>
      <c r="O84" s="6"/>
      <c r="P84" s="6"/>
    </row>
    <row r="85" customFormat="false" ht="23.85" hidden="false" customHeight="false" outlineLevel="0" collapsed="false">
      <c r="A85" s="6" t="n">
        <v>84</v>
      </c>
      <c r="B85" s="6" t="s">
        <v>1439</v>
      </c>
      <c r="C85" s="6" t="s">
        <v>1440</v>
      </c>
      <c r="D85" s="6" t="s">
        <v>1441</v>
      </c>
      <c r="E85" s="6" t="s">
        <v>1389</v>
      </c>
      <c r="F85" s="6" t="s">
        <v>1094</v>
      </c>
      <c r="G85" s="6" t="s">
        <v>1096</v>
      </c>
      <c r="H85" s="6" t="s">
        <v>49</v>
      </c>
      <c r="I85" s="6" t="s">
        <v>40</v>
      </c>
      <c r="J85" s="6" t="s">
        <v>1392</v>
      </c>
      <c r="K85" s="6" t="s">
        <v>160</v>
      </c>
      <c r="L85" s="6"/>
      <c r="M85" s="6" t="s">
        <v>1087</v>
      </c>
      <c r="N85" s="6"/>
      <c r="O85" s="6"/>
      <c r="P85" s="6"/>
    </row>
    <row r="86" customFormat="false" ht="35.05" hidden="false" customHeight="false" outlineLevel="0" collapsed="false">
      <c r="A86" s="6" t="n">
        <v>85</v>
      </c>
      <c r="B86" s="6" t="s">
        <v>1439</v>
      </c>
      <c r="C86" s="6" t="s">
        <v>1440</v>
      </c>
      <c r="D86" s="6" t="s">
        <v>1441</v>
      </c>
      <c r="E86" s="6" t="s">
        <v>1389</v>
      </c>
      <c r="F86" s="6" t="s">
        <v>1102</v>
      </c>
      <c r="G86" s="6" t="s">
        <v>1103</v>
      </c>
      <c r="H86" s="6" t="s">
        <v>49</v>
      </c>
      <c r="I86" s="6" t="s">
        <v>41</v>
      </c>
      <c r="J86" s="6" t="s">
        <v>1445</v>
      </c>
      <c r="K86" s="6" t="s">
        <v>107</v>
      </c>
      <c r="L86" s="6"/>
      <c r="M86" s="6" t="s">
        <v>629</v>
      </c>
      <c r="N86" s="6"/>
      <c r="O86" s="6"/>
      <c r="P86" s="6"/>
    </row>
    <row r="87" customFormat="false" ht="35.05" hidden="false" customHeight="false" outlineLevel="0" collapsed="false">
      <c r="A87" s="6" t="n">
        <v>86</v>
      </c>
      <c r="B87" s="6" t="s">
        <v>1439</v>
      </c>
      <c r="C87" s="6" t="s">
        <v>1440</v>
      </c>
      <c r="D87" s="6" t="s">
        <v>1441</v>
      </c>
      <c r="E87" s="6" t="s">
        <v>1389</v>
      </c>
      <c r="F87" s="6" t="s">
        <v>814</v>
      </c>
      <c r="G87" s="6" t="s">
        <v>815</v>
      </c>
      <c r="H87" s="6" t="s">
        <v>49</v>
      </c>
      <c r="I87" s="6" t="s">
        <v>40</v>
      </c>
      <c r="J87" s="6" t="s">
        <v>1412</v>
      </c>
      <c r="K87" s="6" t="s">
        <v>160</v>
      </c>
      <c r="L87" s="6"/>
      <c r="M87" s="6" t="s">
        <v>774</v>
      </c>
      <c r="N87" s="6" t="s">
        <v>821</v>
      </c>
      <c r="O87" s="6"/>
      <c r="P87" s="6"/>
    </row>
    <row r="88" customFormat="false" ht="23.85" hidden="false" customHeight="false" outlineLevel="0" collapsed="false">
      <c r="A88" s="6" t="n">
        <v>87</v>
      </c>
      <c r="B88" s="6" t="s">
        <v>1439</v>
      </c>
      <c r="C88" s="6" t="s">
        <v>1440</v>
      </c>
      <c r="D88" s="6" t="s">
        <v>1441</v>
      </c>
      <c r="E88" s="6" t="s">
        <v>1389</v>
      </c>
      <c r="F88" s="6" t="s">
        <v>821</v>
      </c>
      <c r="G88" s="6" t="s">
        <v>831</v>
      </c>
      <c r="H88" s="6" t="s">
        <v>49</v>
      </c>
      <c r="I88" s="6" t="s">
        <v>40</v>
      </c>
      <c r="J88" s="6" t="s">
        <v>1392</v>
      </c>
      <c r="K88" s="6" t="s">
        <v>160</v>
      </c>
      <c r="L88" s="6"/>
      <c r="M88" s="6" t="s">
        <v>814</v>
      </c>
      <c r="N88" s="6"/>
      <c r="O88" s="6"/>
      <c r="P88" s="6"/>
    </row>
    <row r="89" customFormat="false" ht="23.85" hidden="false" customHeight="false" outlineLevel="0" collapsed="false">
      <c r="A89" s="6" t="n">
        <v>88</v>
      </c>
      <c r="B89" s="6" t="s">
        <v>1439</v>
      </c>
      <c r="C89" s="6" t="s">
        <v>1440</v>
      </c>
      <c r="D89" s="6" t="s">
        <v>1441</v>
      </c>
      <c r="E89" s="6" t="s">
        <v>1389</v>
      </c>
      <c r="F89" s="6" t="s">
        <v>834</v>
      </c>
      <c r="G89" s="6" t="s">
        <v>835</v>
      </c>
      <c r="H89" s="6" t="s">
        <v>49</v>
      </c>
      <c r="I89" s="6" t="s">
        <v>40</v>
      </c>
      <c r="J89" s="6" t="s">
        <v>1392</v>
      </c>
      <c r="K89" s="6" t="s">
        <v>160</v>
      </c>
      <c r="L89" s="6"/>
      <c r="M89" s="6" t="s">
        <v>796</v>
      </c>
      <c r="N89" s="6"/>
      <c r="O89" s="6"/>
      <c r="P89" s="6"/>
    </row>
    <row r="90" customFormat="false" ht="23.85" hidden="false" customHeight="false" outlineLevel="0" collapsed="false">
      <c r="A90" s="6" t="n">
        <v>89</v>
      </c>
      <c r="B90" s="6" t="s">
        <v>1439</v>
      </c>
      <c r="C90" s="6" t="s">
        <v>1440</v>
      </c>
      <c r="D90" s="6" t="s">
        <v>1441</v>
      </c>
      <c r="E90" s="6" t="s">
        <v>1389</v>
      </c>
      <c r="F90" s="6" t="s">
        <v>812</v>
      </c>
      <c r="G90" s="6" t="s">
        <v>840</v>
      </c>
      <c r="H90" s="6" t="s">
        <v>49</v>
      </c>
      <c r="I90" s="6" t="s">
        <v>40</v>
      </c>
      <c r="J90" s="6" t="s">
        <v>1392</v>
      </c>
      <c r="K90" s="6" t="s">
        <v>160</v>
      </c>
      <c r="L90" s="6"/>
      <c r="M90" s="6" t="s">
        <v>805</v>
      </c>
      <c r="N90" s="6"/>
      <c r="O90" s="6"/>
      <c r="P90" s="6"/>
    </row>
    <row r="91" customFormat="false" ht="23.85" hidden="false" customHeight="false" outlineLevel="0" collapsed="false">
      <c r="A91" s="6" t="n">
        <v>90</v>
      </c>
      <c r="B91" s="6" t="s">
        <v>1439</v>
      </c>
      <c r="C91" s="6" t="s">
        <v>1440</v>
      </c>
      <c r="D91" s="6" t="s">
        <v>1441</v>
      </c>
      <c r="E91" s="6" t="s">
        <v>1389</v>
      </c>
      <c r="F91" s="6" t="s">
        <v>823</v>
      </c>
      <c r="G91" s="6" t="s">
        <v>824</v>
      </c>
      <c r="H91" s="6" t="s">
        <v>49</v>
      </c>
      <c r="I91" s="6" t="s">
        <v>40</v>
      </c>
      <c r="J91" s="6" t="s">
        <v>1403</v>
      </c>
      <c r="K91" s="6" t="s">
        <v>160</v>
      </c>
      <c r="L91" s="6"/>
      <c r="M91" s="6" t="s">
        <v>774</v>
      </c>
      <c r="N91" s="6" t="s">
        <v>829</v>
      </c>
      <c r="O91" s="6"/>
      <c r="P91" s="6"/>
    </row>
    <row r="92" customFormat="false" ht="23.85" hidden="false" customHeight="false" outlineLevel="0" collapsed="false">
      <c r="A92" s="6" t="n">
        <v>91</v>
      </c>
      <c r="B92" s="6" t="s">
        <v>1439</v>
      </c>
      <c r="C92" s="6" t="s">
        <v>1440</v>
      </c>
      <c r="D92" s="6" t="s">
        <v>1441</v>
      </c>
      <c r="E92" s="6" t="s">
        <v>1389</v>
      </c>
      <c r="F92" s="6" t="s">
        <v>865</v>
      </c>
      <c r="G92" s="6" t="s">
        <v>867</v>
      </c>
      <c r="H92" s="6" t="s">
        <v>49</v>
      </c>
      <c r="I92" s="6" t="s">
        <v>40</v>
      </c>
      <c r="J92" s="6" t="s">
        <v>1392</v>
      </c>
      <c r="K92" s="6" t="s">
        <v>160</v>
      </c>
      <c r="L92" s="6"/>
      <c r="M92" s="6" t="s">
        <v>858</v>
      </c>
      <c r="N92" s="6" t="s">
        <v>873</v>
      </c>
      <c r="O92" s="6"/>
      <c r="P92" s="6"/>
    </row>
    <row r="93" customFormat="false" ht="23.85" hidden="false" customHeight="false" outlineLevel="0" collapsed="false">
      <c r="A93" s="6" t="n">
        <v>92</v>
      </c>
      <c r="B93" s="6" t="s">
        <v>1439</v>
      </c>
      <c r="C93" s="6" t="s">
        <v>1440</v>
      </c>
      <c r="D93" s="6" t="s">
        <v>1441</v>
      </c>
      <c r="E93" s="6" t="s">
        <v>1389</v>
      </c>
      <c r="F93" s="6" t="s">
        <v>873</v>
      </c>
      <c r="G93" s="6" t="s">
        <v>875</v>
      </c>
      <c r="H93" s="6" t="s">
        <v>49</v>
      </c>
      <c r="I93" s="6" t="s">
        <v>40</v>
      </c>
      <c r="J93" s="6" t="s">
        <v>1392</v>
      </c>
      <c r="K93" s="6" t="s">
        <v>160</v>
      </c>
      <c r="L93" s="6"/>
      <c r="M93" s="6" t="s">
        <v>865</v>
      </c>
      <c r="N93" s="6"/>
      <c r="O93" s="6"/>
      <c r="P93" s="6"/>
    </row>
    <row r="94" customFormat="false" ht="23.85" hidden="false" customHeight="false" outlineLevel="0" collapsed="false">
      <c r="A94" s="6" t="n">
        <v>93</v>
      </c>
      <c r="B94" s="6" t="s">
        <v>1439</v>
      </c>
      <c r="C94" s="6" t="s">
        <v>1440</v>
      </c>
      <c r="D94" s="6" t="s">
        <v>1441</v>
      </c>
      <c r="E94" s="6" t="s">
        <v>1389</v>
      </c>
      <c r="F94" s="6" t="s">
        <v>895</v>
      </c>
      <c r="G94" s="6" t="s">
        <v>896</v>
      </c>
      <c r="H94" s="6" t="s">
        <v>48</v>
      </c>
      <c r="I94" s="6" t="s">
        <v>40</v>
      </c>
      <c r="J94" s="6" t="s">
        <v>1438</v>
      </c>
      <c r="K94" s="6" t="s">
        <v>316</v>
      </c>
      <c r="L94" s="6" t="s">
        <v>893</v>
      </c>
      <c r="M94" s="6" t="s">
        <v>883</v>
      </c>
      <c r="N94" s="6"/>
      <c r="O94" s="6"/>
      <c r="P94" s="6"/>
    </row>
    <row r="95" customFormat="false" ht="23.85" hidden="false" customHeight="false" outlineLevel="0" collapsed="false">
      <c r="A95" s="6" t="n">
        <v>94</v>
      </c>
      <c r="B95" s="6" t="s">
        <v>1439</v>
      </c>
      <c r="C95" s="6" t="s">
        <v>1440</v>
      </c>
      <c r="D95" s="6" t="s">
        <v>1441</v>
      </c>
      <c r="E95" s="6" t="s">
        <v>1389</v>
      </c>
      <c r="F95" s="6" t="s">
        <v>509</v>
      </c>
      <c r="G95" s="6" t="s">
        <v>510</v>
      </c>
      <c r="H95" s="6" t="s">
        <v>49</v>
      </c>
      <c r="I95" s="6" t="s">
        <v>41</v>
      </c>
      <c r="J95" s="6" t="s">
        <v>1435</v>
      </c>
      <c r="K95" s="6" t="s">
        <v>325</v>
      </c>
      <c r="L95" s="6" t="s">
        <v>517</v>
      </c>
      <c r="M95" s="6" t="s">
        <v>497</v>
      </c>
      <c r="N95" s="6" t="s">
        <v>1446</v>
      </c>
      <c r="O95" s="6"/>
      <c r="P95" s="6"/>
    </row>
    <row r="96" customFormat="false" ht="35.05" hidden="false" customHeight="false" outlineLevel="0" collapsed="false">
      <c r="A96" s="6" t="n">
        <v>95</v>
      </c>
      <c r="B96" s="6" t="s">
        <v>1439</v>
      </c>
      <c r="C96" s="6" t="s">
        <v>1440</v>
      </c>
      <c r="D96" s="6" t="s">
        <v>1441</v>
      </c>
      <c r="E96" s="6" t="s">
        <v>1389</v>
      </c>
      <c r="F96" s="6" t="s">
        <v>537</v>
      </c>
      <c r="G96" s="6" t="s">
        <v>538</v>
      </c>
      <c r="H96" s="6" t="s">
        <v>49</v>
      </c>
      <c r="I96" s="6" t="s">
        <v>41</v>
      </c>
      <c r="J96" s="6" t="s">
        <v>1447</v>
      </c>
      <c r="K96" s="6" t="s">
        <v>545</v>
      </c>
      <c r="L96" s="6" t="s">
        <v>517</v>
      </c>
      <c r="M96" s="6" t="s">
        <v>497</v>
      </c>
      <c r="N96" s="6"/>
      <c r="O96" s="6"/>
      <c r="P96" s="6"/>
    </row>
    <row r="97" customFormat="false" ht="23.85" hidden="false" customHeight="false" outlineLevel="0" collapsed="false">
      <c r="A97" s="6" t="n">
        <v>96</v>
      </c>
      <c r="B97" s="6" t="s">
        <v>1439</v>
      </c>
      <c r="C97" s="6" t="s">
        <v>1440</v>
      </c>
      <c r="D97" s="6" t="s">
        <v>1441</v>
      </c>
      <c r="E97" s="6" t="s">
        <v>1389</v>
      </c>
      <c r="F97" s="6" t="s">
        <v>530</v>
      </c>
      <c r="G97" s="6" t="s">
        <v>531</v>
      </c>
      <c r="H97" s="6" t="s">
        <v>49</v>
      </c>
      <c r="I97" s="6" t="s">
        <v>41</v>
      </c>
      <c r="J97" s="6" t="s">
        <v>1435</v>
      </c>
      <c r="K97" s="6" t="s">
        <v>325</v>
      </c>
      <c r="L97" s="6" t="s">
        <v>517</v>
      </c>
      <c r="M97" s="6" t="s">
        <v>509</v>
      </c>
      <c r="N97" s="6"/>
      <c r="O97" s="6"/>
      <c r="P97" s="6"/>
    </row>
    <row r="98" customFormat="false" ht="35.05" hidden="false" customHeight="false" outlineLevel="0" collapsed="false">
      <c r="A98" s="6" t="n">
        <v>97</v>
      </c>
      <c r="B98" s="6" t="s">
        <v>1439</v>
      </c>
      <c r="C98" s="6" t="s">
        <v>1440</v>
      </c>
      <c r="D98" s="6" t="s">
        <v>1441</v>
      </c>
      <c r="E98" s="6" t="s">
        <v>1389</v>
      </c>
      <c r="F98" s="6" t="s">
        <v>547</v>
      </c>
      <c r="G98" s="6" t="s">
        <v>548</v>
      </c>
      <c r="H98" s="6" t="s">
        <v>49</v>
      </c>
      <c r="I98" s="6" t="s">
        <v>41</v>
      </c>
      <c r="J98" s="6" t="s">
        <v>1448</v>
      </c>
      <c r="K98" s="6" t="s">
        <v>325</v>
      </c>
      <c r="L98" s="6"/>
      <c r="M98" s="6" t="s">
        <v>497</v>
      </c>
      <c r="N98" s="6"/>
      <c r="O98" s="6"/>
      <c r="P98" s="6"/>
    </row>
    <row r="99" customFormat="false" ht="23.85" hidden="false" customHeight="false" outlineLevel="0" collapsed="false">
      <c r="A99" s="6" t="n">
        <v>98</v>
      </c>
      <c r="B99" s="6" t="s">
        <v>1439</v>
      </c>
      <c r="C99" s="6" t="s">
        <v>1440</v>
      </c>
      <c r="D99" s="6" t="s">
        <v>1441</v>
      </c>
      <c r="E99" s="6" t="s">
        <v>1389</v>
      </c>
      <c r="F99" s="6" t="s">
        <v>461</v>
      </c>
      <c r="G99" s="6" t="s">
        <v>463</v>
      </c>
      <c r="H99" s="6" t="s">
        <v>49</v>
      </c>
      <c r="I99" s="6" t="s">
        <v>41</v>
      </c>
      <c r="J99" s="6" t="s">
        <v>1390</v>
      </c>
      <c r="K99" s="6" t="s">
        <v>325</v>
      </c>
      <c r="L99" s="6"/>
      <c r="M99" s="6" t="s">
        <v>454</v>
      </c>
      <c r="N99" s="6"/>
      <c r="O99" s="6"/>
      <c r="P99" s="6"/>
    </row>
    <row r="100" customFormat="false" ht="35.05" hidden="false" customHeight="false" outlineLevel="0" collapsed="false">
      <c r="A100" s="6" t="n">
        <v>99</v>
      </c>
      <c r="B100" s="6" t="s">
        <v>1439</v>
      </c>
      <c r="C100" s="6" t="s">
        <v>1440</v>
      </c>
      <c r="D100" s="6" t="s">
        <v>1441</v>
      </c>
      <c r="E100" s="6" t="s">
        <v>1389</v>
      </c>
      <c r="F100" s="6" t="s">
        <v>1110</v>
      </c>
      <c r="G100" s="6" t="s">
        <v>1111</v>
      </c>
      <c r="H100" s="6" t="s">
        <v>49</v>
      </c>
      <c r="I100" s="6" t="s">
        <v>42</v>
      </c>
      <c r="J100" s="6" t="s">
        <v>1449</v>
      </c>
      <c r="K100" s="6" t="s">
        <v>1120</v>
      </c>
      <c r="L100" s="6" t="s">
        <v>1034</v>
      </c>
      <c r="M100" s="6" t="s">
        <v>1121</v>
      </c>
      <c r="N100" s="6" t="s">
        <v>1450</v>
      </c>
      <c r="O100" s="6"/>
      <c r="P100" s="6"/>
    </row>
    <row r="101" customFormat="false" ht="23.85" hidden="false" customHeight="false" outlineLevel="0" collapsed="false">
      <c r="A101" s="6" t="n">
        <v>100</v>
      </c>
      <c r="B101" s="6" t="s">
        <v>1439</v>
      </c>
      <c r="C101" s="6" t="s">
        <v>1440</v>
      </c>
      <c r="D101" s="6" t="s">
        <v>1441</v>
      </c>
      <c r="E101" s="6" t="s">
        <v>1389</v>
      </c>
      <c r="F101" s="6" t="s">
        <v>1123</v>
      </c>
      <c r="G101" s="6" t="s">
        <v>1124</v>
      </c>
      <c r="H101" s="6" t="s">
        <v>49</v>
      </c>
      <c r="I101" s="6" t="s">
        <v>42</v>
      </c>
      <c r="J101" s="6" t="s">
        <v>1449</v>
      </c>
      <c r="K101" s="6" t="s">
        <v>728</v>
      </c>
      <c r="L101" s="6" t="s">
        <v>1034</v>
      </c>
      <c r="M101" s="6" t="s">
        <v>1110</v>
      </c>
      <c r="N101" s="6" t="s">
        <v>1451</v>
      </c>
      <c r="O101" s="6"/>
      <c r="P101" s="6"/>
    </row>
    <row r="102" customFormat="false" ht="23.85" hidden="false" customHeight="false" outlineLevel="0" collapsed="false">
      <c r="A102" s="6" t="n">
        <v>101</v>
      </c>
      <c r="B102" s="6" t="s">
        <v>1439</v>
      </c>
      <c r="C102" s="6" t="s">
        <v>1440</v>
      </c>
      <c r="D102" s="6" t="s">
        <v>1441</v>
      </c>
      <c r="E102" s="6" t="s">
        <v>1389</v>
      </c>
      <c r="F102" s="6" t="s">
        <v>1131</v>
      </c>
      <c r="G102" s="6" t="s">
        <v>1132</v>
      </c>
      <c r="H102" s="6" t="s">
        <v>49</v>
      </c>
      <c r="I102" s="6" t="s">
        <v>42</v>
      </c>
      <c r="J102" s="6" t="s">
        <v>1449</v>
      </c>
      <c r="K102" s="6" t="s">
        <v>728</v>
      </c>
      <c r="L102" s="6" t="s">
        <v>1034</v>
      </c>
      <c r="M102" s="6" t="s">
        <v>1110</v>
      </c>
      <c r="N102" s="6"/>
      <c r="O102" s="6"/>
      <c r="P102" s="6"/>
    </row>
    <row r="103" customFormat="false" ht="35.05" hidden="false" customHeight="false" outlineLevel="0" collapsed="false">
      <c r="A103" s="6" t="n">
        <v>102</v>
      </c>
      <c r="B103" s="6" t="s">
        <v>1439</v>
      </c>
      <c r="C103" s="6" t="s">
        <v>1440</v>
      </c>
      <c r="D103" s="6" t="s">
        <v>1441</v>
      </c>
      <c r="E103" s="6" t="s">
        <v>1389</v>
      </c>
      <c r="F103" s="6" t="s">
        <v>1139</v>
      </c>
      <c r="G103" s="6" t="s">
        <v>1140</v>
      </c>
      <c r="H103" s="6" t="s">
        <v>50</v>
      </c>
      <c r="I103" s="6" t="s">
        <v>41</v>
      </c>
      <c r="J103" s="6" t="s">
        <v>1452</v>
      </c>
      <c r="K103" s="6" t="s">
        <v>173</v>
      </c>
      <c r="L103" s="6" t="s">
        <v>1034</v>
      </c>
      <c r="M103" s="6" t="s">
        <v>1110</v>
      </c>
      <c r="N103" s="6"/>
      <c r="O103" s="6"/>
      <c r="P103" s="6" t="s">
        <v>1453</v>
      </c>
    </row>
    <row r="104" customFormat="false" ht="23.85" hidden="false" customHeight="false" outlineLevel="0" collapsed="false">
      <c r="A104" s="6" t="n">
        <v>103</v>
      </c>
      <c r="B104" s="6" t="s">
        <v>1439</v>
      </c>
      <c r="C104" s="6" t="s">
        <v>1440</v>
      </c>
      <c r="D104" s="6" t="s">
        <v>1441</v>
      </c>
      <c r="E104" s="6" t="s">
        <v>1389</v>
      </c>
      <c r="F104" s="6" t="s">
        <v>1159</v>
      </c>
      <c r="G104" s="6" t="s">
        <v>1160</v>
      </c>
      <c r="H104" s="6" t="s">
        <v>49</v>
      </c>
      <c r="I104" s="6" t="s">
        <v>42</v>
      </c>
      <c r="J104" s="6" t="s">
        <v>1427</v>
      </c>
      <c r="K104" s="6" t="s">
        <v>120</v>
      </c>
      <c r="L104" s="6" t="s">
        <v>1165</v>
      </c>
      <c r="M104" s="6" t="s">
        <v>1164</v>
      </c>
      <c r="N104" s="6" t="s">
        <v>1454</v>
      </c>
      <c r="O104" s="6"/>
      <c r="P104" s="6"/>
    </row>
    <row r="105" customFormat="false" ht="35.05" hidden="false" customHeight="false" outlineLevel="0" collapsed="false">
      <c r="A105" s="6" t="n">
        <v>104</v>
      </c>
      <c r="B105" s="6" t="s">
        <v>1439</v>
      </c>
      <c r="C105" s="6" t="s">
        <v>1440</v>
      </c>
      <c r="D105" s="6" t="s">
        <v>1441</v>
      </c>
      <c r="E105" s="6" t="s">
        <v>1389</v>
      </c>
      <c r="F105" s="6" t="s">
        <v>1149</v>
      </c>
      <c r="G105" s="6" t="s">
        <v>1150</v>
      </c>
      <c r="H105" s="6" t="s">
        <v>49</v>
      </c>
      <c r="I105" s="6" t="s">
        <v>42</v>
      </c>
      <c r="J105" s="6" t="s">
        <v>1455</v>
      </c>
      <c r="K105" s="6" t="s">
        <v>728</v>
      </c>
      <c r="L105" s="6" t="s">
        <v>1034</v>
      </c>
      <c r="M105" s="6" t="s">
        <v>1157</v>
      </c>
      <c r="N105" s="6"/>
      <c r="O105" s="6"/>
      <c r="P105" s="6"/>
    </row>
    <row r="106" customFormat="false" ht="23.85" hidden="false" customHeight="false" outlineLevel="0" collapsed="false">
      <c r="A106" s="6" t="n">
        <v>105</v>
      </c>
      <c r="B106" s="6" t="s">
        <v>1439</v>
      </c>
      <c r="C106" s="6" t="s">
        <v>1440</v>
      </c>
      <c r="D106" s="6" t="s">
        <v>1441</v>
      </c>
      <c r="E106" s="6" t="s">
        <v>1389</v>
      </c>
      <c r="F106" s="6" t="s">
        <v>1193</v>
      </c>
      <c r="G106" s="6" t="s">
        <v>1194</v>
      </c>
      <c r="H106" s="6" t="s">
        <v>49</v>
      </c>
      <c r="I106" s="6" t="s">
        <v>42</v>
      </c>
      <c r="J106" s="6" t="s">
        <v>1427</v>
      </c>
      <c r="K106" s="6" t="s">
        <v>1201</v>
      </c>
      <c r="L106" s="6" t="s">
        <v>1165</v>
      </c>
      <c r="M106" s="6" t="s">
        <v>1202</v>
      </c>
      <c r="N106" s="6" t="s">
        <v>1456</v>
      </c>
      <c r="O106" s="6"/>
      <c r="P106" s="6"/>
    </row>
    <row r="107" customFormat="false" ht="23.85" hidden="false" customHeight="false" outlineLevel="0" collapsed="false">
      <c r="A107" s="6" t="n">
        <v>106</v>
      </c>
      <c r="B107" s="6" t="s">
        <v>1439</v>
      </c>
      <c r="C107" s="6" t="s">
        <v>1440</v>
      </c>
      <c r="D107" s="6" t="s">
        <v>1441</v>
      </c>
      <c r="E107" s="6" t="s">
        <v>1389</v>
      </c>
      <c r="F107" s="6" t="s">
        <v>1214</v>
      </c>
      <c r="G107" s="6" t="s">
        <v>1215</v>
      </c>
      <c r="H107" s="6" t="s">
        <v>49</v>
      </c>
      <c r="I107" s="6" t="s">
        <v>42</v>
      </c>
      <c r="J107" s="6" t="s">
        <v>1427</v>
      </c>
      <c r="K107" s="6" t="s">
        <v>1201</v>
      </c>
      <c r="L107" s="6" t="s">
        <v>1165</v>
      </c>
      <c r="M107" s="6" t="s">
        <v>1193</v>
      </c>
      <c r="N107" s="6"/>
      <c r="O107" s="6"/>
      <c r="P107" s="6"/>
    </row>
    <row r="108" customFormat="false" ht="35.05" hidden="false" customHeight="false" outlineLevel="0" collapsed="false">
      <c r="A108" s="6" t="n">
        <v>107</v>
      </c>
      <c r="B108" s="6" t="s">
        <v>1439</v>
      </c>
      <c r="C108" s="6" t="s">
        <v>1440</v>
      </c>
      <c r="D108" s="6" t="s">
        <v>1441</v>
      </c>
      <c r="E108" s="6" t="s">
        <v>1389</v>
      </c>
      <c r="F108" s="6" t="s">
        <v>1220</v>
      </c>
      <c r="G108" s="6" t="s">
        <v>1221</v>
      </c>
      <c r="H108" s="6" t="s">
        <v>49</v>
      </c>
      <c r="I108" s="6" t="s">
        <v>41</v>
      </c>
      <c r="J108" s="6" t="s">
        <v>1457</v>
      </c>
      <c r="K108" s="6" t="s">
        <v>1228</v>
      </c>
      <c r="L108" s="6" t="s">
        <v>1165</v>
      </c>
      <c r="M108" s="6" t="s">
        <v>1227</v>
      </c>
      <c r="N108" s="6"/>
      <c r="O108" s="6"/>
      <c r="P108" s="6"/>
    </row>
    <row r="109" customFormat="false" ht="23.85" hidden="false" customHeight="false" outlineLevel="0" collapsed="false">
      <c r="A109" s="6" t="n">
        <v>108</v>
      </c>
      <c r="B109" s="6" t="s">
        <v>1439</v>
      </c>
      <c r="C109" s="6" t="s">
        <v>1440</v>
      </c>
      <c r="D109" s="6" t="s">
        <v>1441</v>
      </c>
      <c r="E109" s="6" t="s">
        <v>1389</v>
      </c>
      <c r="F109" s="6" t="s">
        <v>1230</v>
      </c>
      <c r="G109" s="6" t="s">
        <v>1231</v>
      </c>
      <c r="H109" s="6" t="s">
        <v>49</v>
      </c>
      <c r="I109" s="6" t="s">
        <v>42</v>
      </c>
      <c r="J109" s="6" t="s">
        <v>1427</v>
      </c>
      <c r="K109" s="6" t="s">
        <v>1201</v>
      </c>
      <c r="L109" s="6" t="s">
        <v>1165</v>
      </c>
      <c r="M109" s="6" t="s">
        <v>1193</v>
      </c>
      <c r="N109" s="6"/>
      <c r="O109" s="6"/>
      <c r="P109" s="6"/>
    </row>
    <row r="110" customFormat="false" ht="23.85" hidden="false" customHeight="false" outlineLevel="0" collapsed="false">
      <c r="A110" s="6" t="n">
        <v>109</v>
      </c>
      <c r="B110" s="6" t="s">
        <v>1439</v>
      </c>
      <c r="C110" s="6" t="s">
        <v>1440</v>
      </c>
      <c r="D110" s="6" t="s">
        <v>1441</v>
      </c>
      <c r="E110" s="6" t="s">
        <v>1389</v>
      </c>
      <c r="F110" s="6" t="s">
        <v>1258</v>
      </c>
      <c r="G110" s="6" t="s">
        <v>1259</v>
      </c>
      <c r="H110" s="6" t="s">
        <v>49</v>
      </c>
      <c r="I110" s="6" t="s">
        <v>42</v>
      </c>
      <c r="J110" s="6" t="s">
        <v>1427</v>
      </c>
      <c r="K110" s="6" t="s">
        <v>1190</v>
      </c>
      <c r="L110" s="6" t="s">
        <v>1165</v>
      </c>
      <c r="M110" s="6" t="s">
        <v>1164</v>
      </c>
      <c r="N110" s="6" t="s">
        <v>1266</v>
      </c>
      <c r="O110" s="6"/>
      <c r="P110" s="6"/>
    </row>
    <row r="111" customFormat="false" ht="23.85" hidden="false" customHeight="false" outlineLevel="0" collapsed="false">
      <c r="A111" s="6" t="n">
        <v>110</v>
      </c>
      <c r="B111" s="6" t="s">
        <v>1439</v>
      </c>
      <c r="C111" s="6" t="s">
        <v>1440</v>
      </c>
      <c r="D111" s="6" t="s">
        <v>1441</v>
      </c>
      <c r="E111" s="6" t="s">
        <v>1389</v>
      </c>
      <c r="F111" s="6" t="s">
        <v>1266</v>
      </c>
      <c r="G111" s="6" t="s">
        <v>1268</v>
      </c>
      <c r="H111" s="6" t="s">
        <v>49</v>
      </c>
      <c r="I111" s="6" t="s">
        <v>42</v>
      </c>
      <c r="J111" s="6" t="s">
        <v>1427</v>
      </c>
      <c r="K111" s="6" t="s">
        <v>1190</v>
      </c>
      <c r="L111" s="6"/>
      <c r="M111" s="6" t="s">
        <v>1258</v>
      </c>
      <c r="N111" s="6"/>
      <c r="O111" s="6"/>
      <c r="P111" s="6"/>
    </row>
    <row r="112" customFormat="false" ht="23.85" hidden="false" customHeight="false" outlineLevel="0" collapsed="false">
      <c r="A112" s="6" t="n">
        <v>111</v>
      </c>
      <c r="B112" s="6" t="s">
        <v>1439</v>
      </c>
      <c r="C112" s="6" t="s">
        <v>1440</v>
      </c>
      <c r="D112" s="6" t="s">
        <v>1441</v>
      </c>
      <c r="E112" s="6" t="s">
        <v>1389</v>
      </c>
      <c r="F112" s="6" t="s">
        <v>1273</v>
      </c>
      <c r="G112" s="6" t="s">
        <v>1274</v>
      </c>
      <c r="H112" s="6" t="s">
        <v>49</v>
      </c>
      <c r="I112" s="6" t="s">
        <v>41</v>
      </c>
      <c r="J112" s="6" t="s">
        <v>1427</v>
      </c>
      <c r="K112" s="6" t="s">
        <v>1279</v>
      </c>
      <c r="L112" s="6"/>
      <c r="M112" s="6" t="s">
        <v>1193</v>
      </c>
      <c r="N112" s="6"/>
      <c r="O112" s="6"/>
      <c r="P112" s="6"/>
    </row>
    <row r="113" customFormat="false" ht="35.05" hidden="false" customHeight="false" outlineLevel="0" collapsed="false">
      <c r="A113" s="6" t="n">
        <v>112</v>
      </c>
      <c r="B113" s="6" t="s">
        <v>1439</v>
      </c>
      <c r="C113" s="6" t="s">
        <v>1440</v>
      </c>
      <c r="D113" s="6" t="s">
        <v>1441</v>
      </c>
      <c r="E113" s="6" t="s">
        <v>1389</v>
      </c>
      <c r="F113" s="6" t="s">
        <v>1281</v>
      </c>
      <c r="G113" s="6" t="s">
        <v>1282</v>
      </c>
      <c r="H113" s="6" t="s">
        <v>49</v>
      </c>
      <c r="I113" s="6" t="s">
        <v>42</v>
      </c>
      <c r="J113" s="6" t="s">
        <v>1458</v>
      </c>
      <c r="K113" s="6" t="s">
        <v>150</v>
      </c>
      <c r="L113" s="6" t="s">
        <v>1290</v>
      </c>
      <c r="M113" s="6" t="s">
        <v>1291</v>
      </c>
      <c r="N113" s="6" t="s">
        <v>1289</v>
      </c>
      <c r="O113" s="6"/>
      <c r="P113" s="6"/>
    </row>
    <row r="114" customFormat="false" ht="35.05" hidden="false" customHeight="false" outlineLevel="0" collapsed="false">
      <c r="A114" s="6" t="n">
        <v>113</v>
      </c>
      <c r="B114" s="6" t="s">
        <v>1439</v>
      </c>
      <c r="C114" s="6" t="s">
        <v>1440</v>
      </c>
      <c r="D114" s="6" t="s">
        <v>1441</v>
      </c>
      <c r="E114" s="6" t="s">
        <v>1389</v>
      </c>
      <c r="F114" s="6" t="s">
        <v>1289</v>
      </c>
      <c r="G114" s="6" t="s">
        <v>1293</v>
      </c>
      <c r="H114" s="6" t="s">
        <v>49</v>
      </c>
      <c r="I114" s="6" t="s">
        <v>41</v>
      </c>
      <c r="J114" s="6" t="s">
        <v>1459</v>
      </c>
      <c r="K114" s="6" t="s">
        <v>434</v>
      </c>
      <c r="L114" s="6"/>
      <c r="M114" s="6" t="s">
        <v>1281</v>
      </c>
      <c r="N114" s="6"/>
      <c r="O114" s="6"/>
      <c r="P114" s="6"/>
    </row>
    <row r="115" customFormat="false" ht="23.85" hidden="false" customHeight="false" outlineLevel="0" collapsed="false">
      <c r="A115" s="6" t="n">
        <v>114</v>
      </c>
      <c r="B115" s="6" t="s">
        <v>1439</v>
      </c>
      <c r="C115" s="6" t="s">
        <v>1440</v>
      </c>
      <c r="D115" s="6" t="s">
        <v>1441</v>
      </c>
      <c r="E115" s="6" t="s">
        <v>1389</v>
      </c>
      <c r="F115" s="6" t="s">
        <v>1309</v>
      </c>
      <c r="G115" s="6" t="s">
        <v>1310</v>
      </c>
      <c r="H115" s="6" t="s">
        <v>48</v>
      </c>
      <c r="I115" s="6" t="s">
        <v>42</v>
      </c>
      <c r="J115" s="6" t="s">
        <v>1437</v>
      </c>
      <c r="K115" s="6" t="s">
        <v>173</v>
      </c>
      <c r="L115" s="6" t="s">
        <v>640</v>
      </c>
      <c r="M115" s="6" t="s">
        <v>629</v>
      </c>
      <c r="N115" s="6" t="s">
        <v>1460</v>
      </c>
      <c r="O115" s="6"/>
      <c r="P115" s="6"/>
    </row>
    <row r="116" customFormat="false" ht="35.05" hidden="false" customHeight="false" outlineLevel="0" collapsed="false">
      <c r="A116" s="6" t="n">
        <v>115</v>
      </c>
      <c r="B116" s="6" t="s">
        <v>1439</v>
      </c>
      <c r="C116" s="6" t="s">
        <v>1440</v>
      </c>
      <c r="D116" s="6" t="s">
        <v>1441</v>
      </c>
      <c r="E116" s="6" t="s">
        <v>1389</v>
      </c>
      <c r="F116" s="6" t="s">
        <v>1317</v>
      </c>
      <c r="G116" s="6" t="s">
        <v>1318</v>
      </c>
      <c r="H116" s="6" t="s">
        <v>49</v>
      </c>
      <c r="I116" s="6" t="s">
        <v>41</v>
      </c>
      <c r="J116" s="6" t="s">
        <v>1461</v>
      </c>
      <c r="K116" s="6" t="s">
        <v>107</v>
      </c>
      <c r="L116" s="6" t="s">
        <v>954</v>
      </c>
      <c r="M116" s="6" t="s">
        <v>1309</v>
      </c>
      <c r="N116" s="6" t="s">
        <v>1462</v>
      </c>
      <c r="O116" s="6"/>
      <c r="P116" s="6"/>
    </row>
    <row r="117" customFormat="false" ht="23.85" hidden="false" customHeight="false" outlineLevel="0" collapsed="false">
      <c r="A117" s="6" t="n">
        <v>116</v>
      </c>
      <c r="B117" s="6" t="s">
        <v>1439</v>
      </c>
      <c r="C117" s="6" t="s">
        <v>1440</v>
      </c>
      <c r="D117" s="6" t="s">
        <v>1441</v>
      </c>
      <c r="E117" s="6" t="s">
        <v>1389</v>
      </c>
      <c r="F117" s="6" t="s">
        <v>1327</v>
      </c>
      <c r="G117" s="6" t="s">
        <v>1328</v>
      </c>
      <c r="H117" s="6" t="s">
        <v>49</v>
      </c>
      <c r="I117" s="6" t="s">
        <v>40</v>
      </c>
      <c r="J117" s="6" t="s">
        <v>1403</v>
      </c>
      <c r="K117" s="6" t="s">
        <v>160</v>
      </c>
      <c r="L117" s="6" t="s">
        <v>954</v>
      </c>
      <c r="M117" s="6" t="s">
        <v>1317</v>
      </c>
      <c r="N117" s="6"/>
      <c r="O117" s="6"/>
      <c r="P117" s="6"/>
    </row>
    <row r="118" customFormat="false" ht="23.85" hidden="false" customHeight="false" outlineLevel="0" collapsed="false">
      <c r="A118" s="6" t="n">
        <v>117</v>
      </c>
      <c r="B118" s="6" t="s">
        <v>1439</v>
      </c>
      <c r="C118" s="6" t="s">
        <v>1440</v>
      </c>
      <c r="D118" s="6" t="s">
        <v>1441</v>
      </c>
      <c r="E118" s="6" t="s">
        <v>1389</v>
      </c>
      <c r="F118" s="6" t="s">
        <v>1347</v>
      </c>
      <c r="G118" s="6" t="s">
        <v>1348</v>
      </c>
      <c r="H118" s="6" t="s">
        <v>49</v>
      </c>
      <c r="I118" s="6" t="s">
        <v>40</v>
      </c>
      <c r="J118" s="6" t="s">
        <v>1392</v>
      </c>
      <c r="K118" s="6" t="s">
        <v>160</v>
      </c>
      <c r="L118" s="6"/>
      <c r="M118" s="6" t="s">
        <v>1317</v>
      </c>
      <c r="N118" s="6"/>
      <c r="O118" s="6"/>
      <c r="P118" s="6"/>
    </row>
    <row r="119" customFormat="false" ht="23.85" hidden="false" customHeight="false" outlineLevel="0" collapsed="false">
      <c r="A119" s="6" t="n">
        <v>118</v>
      </c>
      <c r="B119" s="6" t="s">
        <v>1439</v>
      </c>
      <c r="C119" s="6" t="s">
        <v>1440</v>
      </c>
      <c r="D119" s="6" t="s">
        <v>1441</v>
      </c>
      <c r="E119" s="6" t="s">
        <v>1389</v>
      </c>
      <c r="F119" s="6" t="s">
        <v>1365</v>
      </c>
      <c r="G119" s="6" t="s">
        <v>1366</v>
      </c>
      <c r="H119" s="6" t="s">
        <v>49</v>
      </c>
      <c r="I119" s="6" t="s">
        <v>41</v>
      </c>
      <c r="J119" s="6" t="s">
        <v>1390</v>
      </c>
      <c r="K119" s="6" t="s">
        <v>107</v>
      </c>
      <c r="L119" s="6"/>
      <c r="M119" s="6" t="s">
        <v>1309</v>
      </c>
      <c r="N119" s="6" t="s">
        <v>1372</v>
      </c>
      <c r="O119" s="6"/>
      <c r="P119" s="6"/>
    </row>
    <row r="120" customFormat="false" ht="23.85" hidden="false" customHeight="false" outlineLevel="0" collapsed="false">
      <c r="A120" s="6" t="n">
        <v>119</v>
      </c>
      <c r="B120" s="6" t="s">
        <v>1439</v>
      </c>
      <c r="C120" s="6" t="s">
        <v>1440</v>
      </c>
      <c r="D120" s="6" t="s">
        <v>1441</v>
      </c>
      <c r="E120" s="6" t="s">
        <v>1389</v>
      </c>
      <c r="F120" s="6" t="s">
        <v>1372</v>
      </c>
      <c r="G120" s="6" t="s">
        <v>1374</v>
      </c>
      <c r="H120" s="6" t="s">
        <v>49</v>
      </c>
      <c r="I120" s="6" t="s">
        <v>40</v>
      </c>
      <c r="J120" s="6" t="s">
        <v>1392</v>
      </c>
      <c r="K120" s="6" t="s">
        <v>160</v>
      </c>
      <c r="L120" s="6"/>
      <c r="M120" s="6" t="s">
        <v>1365</v>
      </c>
      <c r="N120" s="6"/>
      <c r="O120" s="6"/>
      <c r="P120" s="6"/>
    </row>
    <row r="121" customFormat="false" ht="23.85" hidden="false" customHeight="false" outlineLevel="0" collapsed="false">
      <c r="A121" s="6" t="n">
        <v>120</v>
      </c>
      <c r="B121" s="6" t="s">
        <v>1463</v>
      </c>
      <c r="C121" s="6" t="s">
        <v>1464</v>
      </c>
      <c r="D121" s="6" t="s">
        <v>1465</v>
      </c>
      <c r="E121" s="6" t="s">
        <v>1389</v>
      </c>
      <c r="F121" s="6" t="s">
        <v>829</v>
      </c>
      <c r="G121" s="6" t="s">
        <v>848</v>
      </c>
      <c r="H121" s="6" t="s">
        <v>49</v>
      </c>
      <c r="I121" s="6" t="s">
        <v>40</v>
      </c>
      <c r="J121" s="6" t="s">
        <v>1403</v>
      </c>
      <c r="K121" s="6" t="s">
        <v>160</v>
      </c>
      <c r="L121" s="6" t="s">
        <v>794</v>
      </c>
      <c r="M121" s="6" t="s">
        <v>823</v>
      </c>
      <c r="N121" s="6"/>
      <c r="O121" s="6"/>
      <c r="P121" s="6"/>
    </row>
    <row r="122" customFormat="false" ht="23.85" hidden="false" customHeight="false" outlineLevel="0" collapsed="false">
      <c r="A122" s="6" t="n">
        <v>121</v>
      </c>
      <c r="B122" s="6" t="s">
        <v>1463</v>
      </c>
      <c r="C122" s="6" t="s">
        <v>1464</v>
      </c>
      <c r="D122" s="6" t="s">
        <v>1465</v>
      </c>
      <c r="E122" s="6" t="s">
        <v>1389</v>
      </c>
      <c r="F122" s="6" t="s">
        <v>903</v>
      </c>
      <c r="G122" s="6" t="s">
        <v>904</v>
      </c>
      <c r="H122" s="6" t="s">
        <v>48</v>
      </c>
      <c r="I122" s="6" t="s">
        <v>40</v>
      </c>
      <c r="J122" s="6" t="s">
        <v>1403</v>
      </c>
      <c r="K122" s="6" t="s">
        <v>243</v>
      </c>
      <c r="L122" s="6" t="s">
        <v>893</v>
      </c>
      <c r="M122" s="6" t="s">
        <v>883</v>
      </c>
      <c r="N122" s="6"/>
      <c r="O122" s="6"/>
      <c r="P122" s="6"/>
    </row>
    <row r="123" customFormat="false" ht="23.85" hidden="false" customHeight="false" outlineLevel="0" collapsed="false">
      <c r="A123" s="6" t="n">
        <v>122</v>
      </c>
      <c r="B123" s="6" t="s">
        <v>1463</v>
      </c>
      <c r="C123" s="6" t="s">
        <v>1464</v>
      </c>
      <c r="D123" s="6" t="s">
        <v>1465</v>
      </c>
      <c r="E123" s="6" t="s">
        <v>1389</v>
      </c>
      <c r="F123" s="6" t="s">
        <v>220</v>
      </c>
      <c r="G123" s="6" t="s">
        <v>436</v>
      </c>
      <c r="H123" s="6" t="s">
        <v>49</v>
      </c>
      <c r="I123" s="6" t="s">
        <v>41</v>
      </c>
      <c r="J123" s="6" t="s">
        <v>1390</v>
      </c>
      <c r="K123" s="6" t="s">
        <v>325</v>
      </c>
      <c r="L123" s="6" t="s">
        <v>444</v>
      </c>
      <c r="M123" s="6" t="s">
        <v>212</v>
      </c>
      <c r="N123" s="6" t="s">
        <v>443</v>
      </c>
      <c r="O123" s="6"/>
      <c r="P123" s="6"/>
    </row>
    <row r="124" customFormat="false" ht="23.85" hidden="false" customHeight="false" outlineLevel="0" collapsed="false">
      <c r="A124" s="6" t="n">
        <v>123</v>
      </c>
      <c r="B124" s="6" t="s">
        <v>1463</v>
      </c>
      <c r="C124" s="6" t="s">
        <v>1464</v>
      </c>
      <c r="D124" s="6" t="s">
        <v>1465</v>
      </c>
      <c r="E124" s="6" t="s">
        <v>1389</v>
      </c>
      <c r="F124" s="6" t="s">
        <v>443</v>
      </c>
      <c r="G124" s="6" t="s">
        <v>446</v>
      </c>
      <c r="H124" s="6" t="s">
        <v>48</v>
      </c>
      <c r="I124" s="6" t="s">
        <v>40</v>
      </c>
      <c r="J124" s="6" t="s">
        <v>1392</v>
      </c>
      <c r="K124" s="6" t="s">
        <v>160</v>
      </c>
      <c r="L124" s="6" t="s">
        <v>444</v>
      </c>
      <c r="M124" s="6" t="s">
        <v>220</v>
      </c>
      <c r="N124" s="6"/>
      <c r="O124" s="6"/>
      <c r="P124" s="6"/>
    </row>
    <row r="125" customFormat="false" ht="23.85" hidden="false" customHeight="false" outlineLevel="0" collapsed="false">
      <c r="A125" s="6" t="n">
        <v>124</v>
      </c>
      <c r="B125" s="6" t="s">
        <v>1463</v>
      </c>
      <c r="C125" s="6" t="s">
        <v>1464</v>
      </c>
      <c r="D125" s="6" t="s">
        <v>1465</v>
      </c>
      <c r="E125" s="6" t="s">
        <v>1389</v>
      </c>
      <c r="F125" s="6" t="s">
        <v>470</v>
      </c>
      <c r="G125" s="6" t="s">
        <v>471</v>
      </c>
      <c r="H125" s="6" t="s">
        <v>49</v>
      </c>
      <c r="I125" s="6" t="s">
        <v>42</v>
      </c>
      <c r="J125" s="6" t="s">
        <v>1466</v>
      </c>
      <c r="K125" s="6" t="s">
        <v>481</v>
      </c>
      <c r="L125" s="6" t="s">
        <v>482</v>
      </c>
      <c r="M125" s="6" t="s">
        <v>90</v>
      </c>
      <c r="N125" s="6" t="s">
        <v>479</v>
      </c>
      <c r="O125" s="6"/>
      <c r="P125" s="6" t="s">
        <v>1467</v>
      </c>
    </row>
    <row r="126" customFormat="false" ht="23.85" hidden="false" customHeight="false" outlineLevel="0" collapsed="false">
      <c r="A126" s="6" t="n">
        <v>125</v>
      </c>
      <c r="B126" s="6" t="s">
        <v>1463</v>
      </c>
      <c r="C126" s="6" t="s">
        <v>1464</v>
      </c>
      <c r="D126" s="6" t="s">
        <v>1465</v>
      </c>
      <c r="E126" s="6" t="s">
        <v>1389</v>
      </c>
      <c r="F126" s="6" t="s">
        <v>484</v>
      </c>
      <c r="G126" s="6" t="s">
        <v>485</v>
      </c>
      <c r="H126" s="6" t="s">
        <v>48</v>
      </c>
      <c r="I126" s="6" t="s">
        <v>42</v>
      </c>
      <c r="J126" s="6" t="s">
        <v>1466</v>
      </c>
      <c r="K126" s="6" t="s">
        <v>481</v>
      </c>
      <c r="L126" s="6" t="s">
        <v>482</v>
      </c>
      <c r="M126" s="6" t="s">
        <v>470</v>
      </c>
      <c r="N126" s="6"/>
      <c r="O126" s="6"/>
      <c r="P126" s="6"/>
    </row>
    <row r="127" customFormat="false" ht="23.85" hidden="false" customHeight="false" outlineLevel="0" collapsed="false">
      <c r="A127" s="6" t="n">
        <v>126</v>
      </c>
      <c r="B127" s="6" t="s">
        <v>1463</v>
      </c>
      <c r="C127" s="6" t="s">
        <v>1464</v>
      </c>
      <c r="D127" s="6" t="s">
        <v>1465</v>
      </c>
      <c r="E127" s="6" t="s">
        <v>1389</v>
      </c>
      <c r="F127" s="6" t="s">
        <v>492</v>
      </c>
      <c r="G127" s="6" t="s">
        <v>493</v>
      </c>
      <c r="H127" s="6" t="s">
        <v>48</v>
      </c>
      <c r="I127" s="6" t="s">
        <v>41</v>
      </c>
      <c r="J127" s="6" t="s">
        <v>1466</v>
      </c>
      <c r="K127" s="6" t="s">
        <v>481</v>
      </c>
      <c r="L127" s="6"/>
      <c r="M127" s="6" t="s">
        <v>470</v>
      </c>
      <c r="N127" s="6"/>
      <c r="O127" s="6"/>
      <c r="P127" s="6"/>
    </row>
    <row r="128" customFormat="false" ht="23.85" hidden="false" customHeight="false" outlineLevel="0" collapsed="false">
      <c r="A128" s="6" t="n">
        <v>127</v>
      </c>
      <c r="B128" s="6" t="s">
        <v>1463</v>
      </c>
      <c r="C128" s="6" t="s">
        <v>1464</v>
      </c>
      <c r="D128" s="6" t="s">
        <v>1465</v>
      </c>
      <c r="E128" s="6" t="s">
        <v>1389</v>
      </c>
      <c r="F128" s="6" t="s">
        <v>737</v>
      </c>
      <c r="G128" s="6" t="s">
        <v>738</v>
      </c>
      <c r="H128" s="6" t="s">
        <v>49</v>
      </c>
      <c r="I128" s="6" t="s">
        <v>40</v>
      </c>
      <c r="J128" s="6" t="s">
        <v>1392</v>
      </c>
      <c r="K128" s="6" t="s">
        <v>160</v>
      </c>
      <c r="L128" s="6"/>
      <c r="M128" s="6" t="s">
        <v>265</v>
      </c>
      <c r="N128" s="6" t="s">
        <v>1468</v>
      </c>
      <c r="O128" s="6"/>
      <c r="P128" s="6"/>
    </row>
    <row r="129" customFormat="false" ht="35.05" hidden="false" customHeight="false" outlineLevel="0" collapsed="false">
      <c r="A129" s="6" t="n">
        <v>128</v>
      </c>
      <c r="B129" s="6" t="s">
        <v>1463</v>
      </c>
      <c r="C129" s="6" t="s">
        <v>1464</v>
      </c>
      <c r="D129" s="6" t="s">
        <v>1465</v>
      </c>
      <c r="E129" s="6" t="s">
        <v>1389</v>
      </c>
      <c r="F129" s="6" t="s">
        <v>746</v>
      </c>
      <c r="G129" s="6" t="s">
        <v>747</v>
      </c>
      <c r="H129" s="6" t="s">
        <v>48</v>
      </c>
      <c r="I129" s="6" t="s">
        <v>40</v>
      </c>
      <c r="J129" s="6" t="s">
        <v>1412</v>
      </c>
      <c r="K129" s="6" t="s">
        <v>160</v>
      </c>
      <c r="L129" s="6"/>
      <c r="M129" s="6" t="s">
        <v>737</v>
      </c>
      <c r="N129" s="6"/>
      <c r="O129" s="6"/>
      <c r="P129" s="6"/>
    </row>
    <row r="130" customFormat="false" ht="35.05" hidden="false" customHeight="false" outlineLevel="0" collapsed="false">
      <c r="A130" s="6" t="n">
        <v>129</v>
      </c>
      <c r="B130" s="6" t="s">
        <v>1463</v>
      </c>
      <c r="C130" s="6" t="s">
        <v>1464</v>
      </c>
      <c r="D130" s="6" t="s">
        <v>1465</v>
      </c>
      <c r="E130" s="6" t="s">
        <v>1389</v>
      </c>
      <c r="F130" s="6" t="s">
        <v>753</v>
      </c>
      <c r="G130" s="6" t="s">
        <v>754</v>
      </c>
      <c r="H130" s="6" t="s">
        <v>49</v>
      </c>
      <c r="I130" s="6" t="s">
        <v>41</v>
      </c>
      <c r="J130" s="6" t="s">
        <v>1469</v>
      </c>
      <c r="K130" s="6" t="s">
        <v>120</v>
      </c>
      <c r="L130" s="6" t="s">
        <v>762</v>
      </c>
      <c r="M130" s="6" t="s">
        <v>763</v>
      </c>
      <c r="N130" s="6" t="s">
        <v>760</v>
      </c>
      <c r="O130" s="6"/>
      <c r="P130" s="6"/>
    </row>
    <row r="131" customFormat="false" ht="23.85" hidden="false" customHeight="false" outlineLevel="0" collapsed="false">
      <c r="A131" s="6" t="n">
        <v>130</v>
      </c>
      <c r="B131" s="6" t="s">
        <v>1463</v>
      </c>
      <c r="C131" s="6" t="s">
        <v>1464</v>
      </c>
      <c r="D131" s="6" t="s">
        <v>1465</v>
      </c>
      <c r="E131" s="6" t="s">
        <v>1389</v>
      </c>
      <c r="F131" s="6" t="s">
        <v>765</v>
      </c>
      <c r="G131" s="6" t="s">
        <v>766</v>
      </c>
      <c r="H131" s="6" t="s">
        <v>49</v>
      </c>
      <c r="I131" s="6" t="s">
        <v>41</v>
      </c>
      <c r="J131" s="6" t="s">
        <v>1427</v>
      </c>
      <c r="K131" s="6" t="s">
        <v>325</v>
      </c>
      <c r="L131" s="6" t="s">
        <v>772</v>
      </c>
      <c r="M131" s="6" t="s">
        <v>737</v>
      </c>
      <c r="N131" s="6"/>
      <c r="O131" s="6"/>
      <c r="P131" s="6"/>
    </row>
    <row r="132" customFormat="false" ht="23.85" hidden="false" customHeight="false" outlineLevel="0" collapsed="false">
      <c r="A132" s="6" t="n">
        <v>131</v>
      </c>
      <c r="B132" s="6" t="s">
        <v>1463</v>
      </c>
      <c r="C132" s="6" t="s">
        <v>1464</v>
      </c>
      <c r="D132" s="6" t="s">
        <v>1465</v>
      </c>
      <c r="E132" s="6" t="s">
        <v>1389</v>
      </c>
      <c r="F132" s="6" t="s">
        <v>760</v>
      </c>
      <c r="G132" s="6" t="s">
        <v>1336</v>
      </c>
      <c r="H132" s="6" t="s">
        <v>48</v>
      </c>
      <c r="I132" s="6" t="s">
        <v>41</v>
      </c>
      <c r="J132" s="6" t="s">
        <v>1437</v>
      </c>
      <c r="K132" s="6" t="s">
        <v>107</v>
      </c>
      <c r="L132" s="6" t="s">
        <v>1344</v>
      </c>
      <c r="M132" s="6" t="s">
        <v>1345</v>
      </c>
      <c r="N132" s="6"/>
      <c r="O132" s="6"/>
      <c r="P132" s="6"/>
    </row>
    <row r="133" customFormat="false" ht="23.85" hidden="false" customHeight="false" outlineLevel="0" collapsed="false">
      <c r="A133" s="6" t="n">
        <v>132</v>
      </c>
      <c r="B133" s="6" t="s">
        <v>1463</v>
      </c>
      <c r="C133" s="6" t="s">
        <v>1464</v>
      </c>
      <c r="D133" s="6" t="s">
        <v>1465</v>
      </c>
      <c r="E133" s="6" t="s">
        <v>1389</v>
      </c>
      <c r="F133" s="6" t="s">
        <v>556</v>
      </c>
      <c r="G133" s="6" t="s">
        <v>557</v>
      </c>
      <c r="H133" s="6" t="s">
        <v>49</v>
      </c>
      <c r="I133" s="6" t="s">
        <v>40</v>
      </c>
      <c r="J133" s="6" t="s">
        <v>1392</v>
      </c>
      <c r="K133" s="6" t="s">
        <v>160</v>
      </c>
      <c r="L133" s="6"/>
      <c r="M133" s="6" t="s">
        <v>509</v>
      </c>
      <c r="N133" s="6"/>
      <c r="O133" s="6"/>
      <c r="P133" s="6"/>
    </row>
    <row r="134" customFormat="false" ht="23.85" hidden="false" customHeight="false" outlineLevel="0" collapsed="false">
      <c r="A134" s="6" t="n">
        <v>133</v>
      </c>
      <c r="B134" s="6" t="s">
        <v>1463</v>
      </c>
      <c r="C134" s="6" t="s">
        <v>1464</v>
      </c>
      <c r="D134" s="6" t="s">
        <v>1465</v>
      </c>
      <c r="E134" s="6" t="s">
        <v>1389</v>
      </c>
      <c r="F134" s="6" t="s">
        <v>1167</v>
      </c>
      <c r="G134" s="6" t="s">
        <v>1168</v>
      </c>
      <c r="H134" s="6" t="s">
        <v>49</v>
      </c>
      <c r="I134" s="6" t="s">
        <v>42</v>
      </c>
      <c r="J134" s="6" t="s">
        <v>1449</v>
      </c>
      <c r="K134" s="6" t="s">
        <v>728</v>
      </c>
      <c r="L134" s="6" t="s">
        <v>1034</v>
      </c>
      <c r="M134" s="6" t="s">
        <v>1123</v>
      </c>
      <c r="N134" s="6" t="s">
        <v>1174</v>
      </c>
      <c r="O134" s="6"/>
      <c r="P134" s="6"/>
    </row>
    <row r="135" customFormat="false" ht="23.85" hidden="false" customHeight="false" outlineLevel="0" collapsed="false">
      <c r="A135" s="6" t="n">
        <v>134</v>
      </c>
      <c r="B135" s="6" t="s">
        <v>1470</v>
      </c>
      <c r="C135" s="6" t="s">
        <v>1471</v>
      </c>
      <c r="D135" s="6" t="s">
        <v>1472</v>
      </c>
      <c r="E135" s="6" t="s">
        <v>1389</v>
      </c>
      <c r="F135" s="6" t="s">
        <v>231</v>
      </c>
      <c r="G135" s="6" t="s">
        <v>234</v>
      </c>
      <c r="H135" s="6" t="s">
        <v>50</v>
      </c>
      <c r="I135" s="6" t="s">
        <v>40</v>
      </c>
      <c r="J135" s="6" t="s">
        <v>1438</v>
      </c>
      <c r="K135" s="6" t="s">
        <v>243</v>
      </c>
      <c r="L135" s="6"/>
      <c r="M135" s="6" t="s">
        <v>223</v>
      </c>
      <c r="N135" s="6"/>
      <c r="O135" s="6"/>
      <c r="P135" s="6"/>
    </row>
    <row r="136" customFormat="false" ht="35.05" hidden="false" customHeight="false" outlineLevel="0" collapsed="false">
      <c r="A136" s="6" t="n">
        <v>135</v>
      </c>
      <c r="B136" s="6" t="s">
        <v>1470</v>
      </c>
      <c r="C136" s="6" t="s">
        <v>1471</v>
      </c>
      <c r="D136" s="6" t="s">
        <v>1472</v>
      </c>
      <c r="E136" s="6" t="s">
        <v>1389</v>
      </c>
      <c r="F136" s="6" t="s">
        <v>318</v>
      </c>
      <c r="G136" s="6" t="s">
        <v>319</v>
      </c>
      <c r="H136" s="6" t="s">
        <v>50</v>
      </c>
      <c r="I136" s="6" t="s">
        <v>41</v>
      </c>
      <c r="J136" s="6" t="s">
        <v>1473</v>
      </c>
      <c r="K136" s="6" t="s">
        <v>325</v>
      </c>
      <c r="L136" s="6" t="s">
        <v>187</v>
      </c>
      <c r="M136" s="6" t="s">
        <v>308</v>
      </c>
      <c r="N136" s="6"/>
      <c r="O136" s="6"/>
      <c r="P136" s="6" t="s">
        <v>1474</v>
      </c>
    </row>
    <row r="137" customFormat="false" ht="23.85" hidden="false" customHeight="false" outlineLevel="0" collapsed="false">
      <c r="A137" s="6" t="n">
        <v>136</v>
      </c>
      <c r="B137" s="6" t="s">
        <v>1470</v>
      </c>
      <c r="C137" s="6" t="s">
        <v>1471</v>
      </c>
      <c r="D137" s="6" t="s">
        <v>1472</v>
      </c>
      <c r="E137" s="6" t="s">
        <v>1389</v>
      </c>
      <c r="F137" s="6" t="s">
        <v>910</v>
      </c>
      <c r="G137" s="6" t="s">
        <v>911</v>
      </c>
      <c r="H137" s="6" t="s">
        <v>50</v>
      </c>
      <c r="I137" s="6" t="s">
        <v>40</v>
      </c>
      <c r="J137" s="6" t="s">
        <v>1392</v>
      </c>
      <c r="K137" s="6" t="s">
        <v>917</v>
      </c>
      <c r="L137" s="6" t="s">
        <v>893</v>
      </c>
      <c r="M137" s="6" t="s">
        <v>883</v>
      </c>
      <c r="N137" s="6"/>
      <c r="O137" s="6"/>
      <c r="P137" s="6"/>
    </row>
    <row r="138" customFormat="false" ht="35.05" hidden="false" customHeight="false" outlineLevel="0" collapsed="false">
      <c r="A138" s="6" t="n">
        <v>137</v>
      </c>
      <c r="B138" s="6" t="s">
        <v>1470</v>
      </c>
      <c r="C138" s="6" t="s">
        <v>1471</v>
      </c>
      <c r="D138" s="6" t="s">
        <v>1472</v>
      </c>
      <c r="E138" s="6" t="s">
        <v>1389</v>
      </c>
      <c r="F138" s="6" t="s">
        <v>977</v>
      </c>
      <c r="G138" s="6" t="s">
        <v>978</v>
      </c>
      <c r="H138" s="6" t="s">
        <v>50</v>
      </c>
      <c r="I138" s="6" t="s">
        <v>42</v>
      </c>
      <c r="J138" s="6" t="s">
        <v>1475</v>
      </c>
      <c r="K138" s="6" t="s">
        <v>173</v>
      </c>
      <c r="L138" s="6"/>
      <c r="M138" s="6" t="s">
        <v>931</v>
      </c>
      <c r="N138" s="6"/>
      <c r="O138" s="6"/>
      <c r="P138" s="6"/>
    </row>
    <row r="139" customFormat="false" ht="23.85" hidden="false" customHeight="false" outlineLevel="0" collapsed="false">
      <c r="A139" s="6" t="n">
        <v>138</v>
      </c>
      <c r="B139" s="6" t="s">
        <v>1470</v>
      </c>
      <c r="C139" s="6" t="s">
        <v>1471</v>
      </c>
      <c r="D139" s="6" t="s">
        <v>1472</v>
      </c>
      <c r="E139" s="6" t="s">
        <v>1389</v>
      </c>
      <c r="F139" s="6" t="s">
        <v>1070</v>
      </c>
      <c r="G139" s="6" t="s">
        <v>1071</v>
      </c>
      <c r="H139" s="6" t="s">
        <v>50</v>
      </c>
      <c r="I139" s="6" t="s">
        <v>42</v>
      </c>
      <c r="J139" s="6" t="s">
        <v>1405</v>
      </c>
      <c r="K139" s="6" t="s">
        <v>173</v>
      </c>
      <c r="L139" s="6" t="s">
        <v>1001</v>
      </c>
      <c r="M139" s="6" t="s">
        <v>621</v>
      </c>
      <c r="N139" s="6"/>
      <c r="O139" s="6"/>
      <c r="P139" s="6" t="s">
        <v>1476</v>
      </c>
    </row>
    <row r="140" customFormat="false" ht="23.85" hidden="false" customHeight="false" outlineLevel="0" collapsed="false">
      <c r="A140" s="6" t="n">
        <v>139</v>
      </c>
      <c r="B140" s="6" t="s">
        <v>1470</v>
      </c>
      <c r="C140" s="6" t="s">
        <v>1471</v>
      </c>
      <c r="D140" s="6" t="s">
        <v>1472</v>
      </c>
      <c r="E140" s="6" t="s">
        <v>1389</v>
      </c>
      <c r="F140" s="6" t="s">
        <v>721</v>
      </c>
      <c r="G140" s="6" t="s">
        <v>722</v>
      </c>
      <c r="H140" s="6" t="s">
        <v>49</v>
      </c>
      <c r="I140" s="6" t="s">
        <v>42</v>
      </c>
      <c r="J140" s="6" t="s">
        <v>1449</v>
      </c>
      <c r="K140" s="6" t="s">
        <v>728</v>
      </c>
      <c r="L140" s="6"/>
      <c r="M140" s="6" t="s">
        <v>186</v>
      </c>
      <c r="N140" s="6"/>
      <c r="O140" s="6"/>
      <c r="P140" s="6"/>
    </row>
    <row r="141" customFormat="false" ht="35.05" hidden="false" customHeight="false" outlineLevel="0" collapsed="false">
      <c r="A141" s="6" t="n">
        <v>140</v>
      </c>
      <c r="B141" s="6" t="s">
        <v>1470</v>
      </c>
      <c r="C141" s="6" t="s">
        <v>1471</v>
      </c>
      <c r="D141" s="6" t="s">
        <v>1472</v>
      </c>
      <c r="E141" s="6" t="s">
        <v>1389</v>
      </c>
      <c r="F141" s="6" t="s">
        <v>730</v>
      </c>
      <c r="G141" s="6" t="s">
        <v>731</v>
      </c>
      <c r="H141" s="6" t="s">
        <v>50</v>
      </c>
      <c r="I141" s="6" t="s">
        <v>41</v>
      </c>
      <c r="J141" s="6" t="s">
        <v>1443</v>
      </c>
      <c r="K141" s="6" t="s">
        <v>545</v>
      </c>
      <c r="L141" s="6"/>
      <c r="M141" s="6" t="s">
        <v>690</v>
      </c>
      <c r="N141" s="6"/>
      <c r="O141" s="6"/>
      <c r="P141" s="6"/>
    </row>
    <row r="142" customFormat="false" ht="23.85" hidden="false" customHeight="false" outlineLevel="0" collapsed="false">
      <c r="A142" s="6" t="n">
        <v>141</v>
      </c>
      <c r="B142" s="6" t="s">
        <v>1470</v>
      </c>
      <c r="C142" s="6" t="s">
        <v>1471</v>
      </c>
      <c r="D142" s="6" t="s">
        <v>1472</v>
      </c>
      <c r="E142" s="6" t="s">
        <v>1389</v>
      </c>
      <c r="F142" s="6" t="s">
        <v>1174</v>
      </c>
      <c r="G142" s="6" t="s">
        <v>1175</v>
      </c>
      <c r="H142" s="6" t="s">
        <v>50</v>
      </c>
      <c r="I142" s="6" t="s">
        <v>42</v>
      </c>
      <c r="J142" s="6" t="s">
        <v>1449</v>
      </c>
      <c r="K142" s="6" t="s">
        <v>728</v>
      </c>
      <c r="L142" s="6"/>
      <c r="M142" s="6" t="s">
        <v>1167</v>
      </c>
      <c r="N142" s="6"/>
      <c r="O142" s="6"/>
      <c r="P142" s="6"/>
    </row>
    <row r="143" customFormat="false" ht="35.05" hidden="false" customHeight="false" outlineLevel="0" collapsed="false">
      <c r="A143" s="6" t="n">
        <v>142</v>
      </c>
      <c r="B143" s="6" t="s">
        <v>1470</v>
      </c>
      <c r="C143" s="6" t="s">
        <v>1471</v>
      </c>
      <c r="D143" s="6" t="s">
        <v>1472</v>
      </c>
      <c r="E143" s="6" t="s">
        <v>1389</v>
      </c>
      <c r="F143" s="6" t="s">
        <v>1354</v>
      </c>
      <c r="G143" s="6" t="s">
        <v>1355</v>
      </c>
      <c r="H143" s="6" t="s">
        <v>49</v>
      </c>
      <c r="I143" s="6" t="s">
        <v>41</v>
      </c>
      <c r="J143" s="6" t="s">
        <v>1420</v>
      </c>
      <c r="K143" s="6" t="s">
        <v>173</v>
      </c>
      <c r="L143" s="6" t="s">
        <v>1363</v>
      </c>
      <c r="M143" s="6" t="s">
        <v>1309</v>
      </c>
      <c r="N143" s="6"/>
      <c r="O143" s="6"/>
      <c r="P143" s="6"/>
    </row>
  </sheetData>
  <autoFilter ref="A1:P1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34"/>
    <col collapsed="false" customWidth="true" hidden="false" outlineLevel="0" max="4" min="4" style="0" width="45"/>
    <col collapsed="false" customWidth="true" hidden="false" outlineLevel="0" max="5" min="5" style="0" width="60"/>
    <col collapsed="false" customWidth="true" hidden="false" outlineLevel="0" max="6" min="6" style="0" width="40"/>
    <col collapsed="false" customWidth="true" hidden="false" outlineLevel="0" max="7" min="7" style="0" width="30"/>
    <col collapsed="false" customWidth="true" hidden="false" outlineLevel="0" max="8" min="8" style="0" width="22"/>
    <col collapsed="false" customWidth="true" hidden="false" outlineLevel="0" max="9" min="9" style="0" width="20"/>
    <col collapsed="false" customWidth="true" hidden="false" outlineLevel="0" max="10" min="10" style="0" width="18"/>
    <col collapsed="false" customWidth="true" hidden="false" outlineLevel="0" max="11" min="11" style="0" width="55"/>
    <col collapsed="false" customWidth="true" hidden="false" outlineLevel="0" max="12" min="12" style="0" width="40"/>
  </cols>
  <sheetData>
    <row r="1" customFormat="false" ht="23.85" hidden="false" customHeight="false" outlineLevel="0" collapsed="false">
      <c r="A1" s="5" t="s">
        <v>1477</v>
      </c>
      <c r="B1" s="5" t="s">
        <v>1478</v>
      </c>
      <c r="C1" s="5" t="s">
        <v>1479</v>
      </c>
      <c r="D1" s="5" t="s">
        <v>1480</v>
      </c>
      <c r="E1" s="5" t="s">
        <v>1481</v>
      </c>
      <c r="F1" s="5" t="s">
        <v>1482</v>
      </c>
      <c r="G1" s="5" t="s">
        <v>1483</v>
      </c>
      <c r="H1" s="5" t="s">
        <v>1484</v>
      </c>
      <c r="I1" s="5" t="s">
        <v>1485</v>
      </c>
      <c r="J1" s="5" t="s">
        <v>1486</v>
      </c>
      <c r="K1" s="5" t="s">
        <v>1487</v>
      </c>
      <c r="L1" s="5" t="s">
        <v>1488</v>
      </c>
    </row>
    <row r="2" customFormat="false" ht="79.85" hidden="false" customHeight="false" outlineLevel="0" collapsed="false">
      <c r="A2" s="6" t="s">
        <v>1489</v>
      </c>
      <c r="B2" s="6" t="s">
        <v>1490</v>
      </c>
      <c r="C2" s="6" t="s">
        <v>1491</v>
      </c>
      <c r="D2" s="6" t="s">
        <v>1492</v>
      </c>
      <c r="E2" s="6" t="s">
        <v>1493</v>
      </c>
      <c r="F2" s="6" t="s">
        <v>1494</v>
      </c>
      <c r="G2" s="6" t="s">
        <v>1495</v>
      </c>
      <c r="H2" s="6" t="s">
        <v>1496</v>
      </c>
      <c r="I2" s="6" t="s">
        <v>1497</v>
      </c>
      <c r="J2" s="6" t="s">
        <v>41</v>
      </c>
      <c r="K2" s="6" t="s">
        <v>1498</v>
      </c>
      <c r="L2" s="6" t="s">
        <v>90</v>
      </c>
    </row>
    <row r="3" customFormat="false" ht="68.65" hidden="false" customHeight="false" outlineLevel="0" collapsed="false">
      <c r="A3" s="6" t="s">
        <v>1499</v>
      </c>
      <c r="B3" s="6" t="s">
        <v>1500</v>
      </c>
      <c r="C3" s="6" t="s">
        <v>1501</v>
      </c>
      <c r="D3" s="6" t="s">
        <v>1502</v>
      </c>
      <c r="E3" s="6" t="s">
        <v>1503</v>
      </c>
      <c r="F3" s="6" t="s">
        <v>1504</v>
      </c>
      <c r="G3" s="6" t="s">
        <v>1505</v>
      </c>
      <c r="H3" s="6" t="s">
        <v>1506</v>
      </c>
      <c r="I3" s="6" t="s">
        <v>1507</v>
      </c>
      <c r="J3" s="6" t="s">
        <v>41</v>
      </c>
      <c r="K3" s="6" t="s">
        <v>1508</v>
      </c>
      <c r="L3" s="6" t="s">
        <v>1509</v>
      </c>
    </row>
    <row r="4" customFormat="false" ht="91" hidden="false" customHeight="false" outlineLevel="0" collapsed="false">
      <c r="A4" s="6" t="s">
        <v>1510</v>
      </c>
      <c r="B4" s="6" t="s">
        <v>1511</v>
      </c>
      <c r="C4" s="6" t="s">
        <v>1512</v>
      </c>
      <c r="D4" s="6" t="s">
        <v>1513</v>
      </c>
      <c r="E4" s="6" t="s">
        <v>1514</v>
      </c>
      <c r="F4" s="6" t="s">
        <v>1515</v>
      </c>
      <c r="G4" s="6" t="s">
        <v>1516</v>
      </c>
      <c r="H4" s="6" t="s">
        <v>1517</v>
      </c>
      <c r="I4" s="6" t="s">
        <v>1518</v>
      </c>
      <c r="J4" s="6" t="s">
        <v>42</v>
      </c>
      <c r="K4" s="6" t="s">
        <v>1519</v>
      </c>
      <c r="L4" s="6" t="s">
        <v>1520</v>
      </c>
    </row>
    <row r="5" customFormat="false" ht="57.45" hidden="false" customHeight="false" outlineLevel="0" collapsed="false">
      <c r="A5" s="6" t="s">
        <v>1521</v>
      </c>
      <c r="B5" s="6" t="s">
        <v>1522</v>
      </c>
      <c r="C5" s="6" t="s">
        <v>1523</v>
      </c>
      <c r="D5" s="6" t="s">
        <v>1524</v>
      </c>
      <c r="E5" s="6" t="s">
        <v>1525</v>
      </c>
      <c r="F5" s="6" t="s">
        <v>1526</v>
      </c>
      <c r="G5" s="6" t="s">
        <v>1527</v>
      </c>
      <c r="H5" s="6" t="s">
        <v>1506</v>
      </c>
      <c r="I5" s="6" t="s">
        <v>1507</v>
      </c>
      <c r="J5" s="6" t="s">
        <v>41</v>
      </c>
      <c r="K5" s="6" t="s">
        <v>1528</v>
      </c>
      <c r="L5" s="6" t="s">
        <v>1529</v>
      </c>
    </row>
    <row r="6" customFormat="false" ht="68.65" hidden="false" customHeight="false" outlineLevel="0" collapsed="false">
      <c r="A6" s="6" t="s">
        <v>1530</v>
      </c>
      <c r="B6" s="6" t="s">
        <v>1531</v>
      </c>
      <c r="C6" s="6" t="s">
        <v>1532</v>
      </c>
      <c r="D6" s="6" t="s">
        <v>1533</v>
      </c>
      <c r="E6" s="6" t="s">
        <v>1534</v>
      </c>
      <c r="F6" s="6" t="s">
        <v>1535</v>
      </c>
      <c r="G6" s="6" t="s">
        <v>1536</v>
      </c>
      <c r="H6" s="6" t="s">
        <v>1537</v>
      </c>
      <c r="I6" s="6" t="s">
        <v>1538</v>
      </c>
      <c r="J6" s="6" t="s">
        <v>40</v>
      </c>
      <c r="K6" s="6" t="s">
        <v>1539</v>
      </c>
      <c r="L6" s="6" t="s">
        <v>1540</v>
      </c>
    </row>
    <row r="7" customFormat="false" ht="57.45" hidden="false" customHeight="false" outlineLevel="0" collapsed="false">
      <c r="A7" s="6" t="s">
        <v>1541</v>
      </c>
      <c r="B7" s="6" t="s">
        <v>1542</v>
      </c>
      <c r="C7" s="6" t="s">
        <v>1543</v>
      </c>
      <c r="D7" s="6" t="s">
        <v>1544</v>
      </c>
      <c r="E7" s="6" t="s">
        <v>1545</v>
      </c>
      <c r="F7" s="6" t="s">
        <v>1546</v>
      </c>
      <c r="G7" s="6" t="s">
        <v>1547</v>
      </c>
      <c r="H7" s="6" t="s">
        <v>1548</v>
      </c>
      <c r="I7" s="6" t="s">
        <v>1549</v>
      </c>
      <c r="J7" s="6" t="s">
        <v>41</v>
      </c>
      <c r="K7" s="6" t="s">
        <v>1550</v>
      </c>
      <c r="L7" s="6" t="s">
        <v>1551</v>
      </c>
    </row>
    <row r="8" customFormat="false" ht="91" hidden="false" customHeight="false" outlineLevel="0" collapsed="false">
      <c r="A8" s="6" t="s">
        <v>1552</v>
      </c>
      <c r="B8" s="6" t="s">
        <v>1553</v>
      </c>
      <c r="C8" s="6" t="s">
        <v>1554</v>
      </c>
      <c r="D8" s="6" t="s">
        <v>1555</v>
      </c>
      <c r="E8" s="6" t="s">
        <v>1556</v>
      </c>
      <c r="F8" s="6" t="s">
        <v>1557</v>
      </c>
      <c r="G8" s="6" t="s">
        <v>1558</v>
      </c>
      <c r="H8" s="6" t="s">
        <v>1559</v>
      </c>
      <c r="I8" s="6" t="s">
        <v>103</v>
      </c>
      <c r="J8" s="6" t="s">
        <v>42</v>
      </c>
      <c r="K8" s="6" t="s">
        <v>1560</v>
      </c>
      <c r="L8" s="6" t="s">
        <v>1561</v>
      </c>
    </row>
    <row r="9" customFormat="false" ht="79.85" hidden="false" customHeight="false" outlineLevel="0" collapsed="false">
      <c r="A9" s="6" t="s">
        <v>1562</v>
      </c>
      <c r="B9" s="6" t="s">
        <v>1563</v>
      </c>
      <c r="C9" s="6" t="s">
        <v>1564</v>
      </c>
      <c r="D9" s="6" t="s">
        <v>1565</v>
      </c>
      <c r="E9" s="6" t="s">
        <v>1566</v>
      </c>
      <c r="F9" s="6" t="s">
        <v>1567</v>
      </c>
      <c r="G9" s="6" t="s">
        <v>1568</v>
      </c>
      <c r="H9" s="6" t="s">
        <v>1569</v>
      </c>
      <c r="I9" s="6" t="s">
        <v>103</v>
      </c>
      <c r="J9" s="6" t="s">
        <v>42</v>
      </c>
      <c r="K9" s="6" t="s">
        <v>1570</v>
      </c>
      <c r="L9" s="6" t="s">
        <v>162</v>
      </c>
    </row>
    <row r="10" customFormat="false" ht="68.65" hidden="false" customHeight="false" outlineLevel="0" collapsed="false">
      <c r="A10" s="6" t="s">
        <v>1571</v>
      </c>
      <c r="B10" s="6" t="s">
        <v>1572</v>
      </c>
      <c r="C10" s="6" t="s">
        <v>1573</v>
      </c>
      <c r="D10" s="6" t="s">
        <v>1574</v>
      </c>
      <c r="E10" s="6" t="s">
        <v>1575</v>
      </c>
      <c r="F10" s="6" t="s">
        <v>1576</v>
      </c>
      <c r="G10" s="6" t="s">
        <v>1577</v>
      </c>
      <c r="H10" s="6" t="s">
        <v>1578</v>
      </c>
      <c r="I10" s="6" t="s">
        <v>1507</v>
      </c>
      <c r="J10" s="6" t="s">
        <v>42</v>
      </c>
      <c r="K10" s="6" t="s">
        <v>1579</v>
      </c>
      <c r="L10" s="6" t="s">
        <v>186</v>
      </c>
    </row>
    <row r="11" customFormat="false" ht="68.65" hidden="false" customHeight="false" outlineLevel="0" collapsed="false">
      <c r="A11" s="6" t="s">
        <v>1580</v>
      </c>
      <c r="B11" s="6" t="s">
        <v>1581</v>
      </c>
      <c r="C11" s="6" t="s">
        <v>1582</v>
      </c>
      <c r="D11" s="6" t="s">
        <v>1583</v>
      </c>
      <c r="E11" s="6" t="s">
        <v>1584</v>
      </c>
      <c r="F11" s="6" t="s">
        <v>1585</v>
      </c>
      <c r="G11" s="6" t="s">
        <v>1586</v>
      </c>
      <c r="H11" s="6" t="s">
        <v>1587</v>
      </c>
      <c r="I11" s="6" t="s">
        <v>619</v>
      </c>
      <c r="J11" s="6" t="s">
        <v>42</v>
      </c>
      <c r="K11" s="6" t="s">
        <v>1588</v>
      </c>
      <c r="L11" s="6" t="s">
        <v>1589</v>
      </c>
    </row>
    <row r="12" customFormat="false" ht="68.65" hidden="false" customHeight="false" outlineLevel="0" collapsed="false">
      <c r="A12" s="6" t="s">
        <v>1590</v>
      </c>
      <c r="B12" s="6" t="s">
        <v>1591</v>
      </c>
      <c r="C12" s="6" t="s">
        <v>1592</v>
      </c>
      <c r="D12" s="6" t="s">
        <v>1593</v>
      </c>
      <c r="E12" s="6" t="s">
        <v>1594</v>
      </c>
      <c r="F12" s="6" t="s">
        <v>1595</v>
      </c>
      <c r="G12" s="6" t="s">
        <v>1596</v>
      </c>
      <c r="H12" s="6" t="s">
        <v>1597</v>
      </c>
      <c r="I12" s="6" t="s">
        <v>103</v>
      </c>
      <c r="J12" s="6" t="s">
        <v>42</v>
      </c>
      <c r="K12" s="6" t="s">
        <v>1598</v>
      </c>
      <c r="L12" s="6" t="s">
        <v>1599</v>
      </c>
    </row>
    <row r="13" customFormat="false" ht="68.65" hidden="false" customHeight="false" outlineLevel="0" collapsed="false">
      <c r="A13" s="6" t="s">
        <v>1600</v>
      </c>
      <c r="B13" s="6" t="s">
        <v>1601</v>
      </c>
      <c r="C13" s="6" t="s">
        <v>1602</v>
      </c>
      <c r="D13" s="6" t="s">
        <v>1603</v>
      </c>
      <c r="E13" s="6" t="s">
        <v>1604</v>
      </c>
      <c r="F13" s="6" t="s">
        <v>1605</v>
      </c>
      <c r="G13" s="6" t="s">
        <v>1606</v>
      </c>
      <c r="H13" s="6" t="s">
        <v>1607</v>
      </c>
      <c r="I13" s="6" t="s">
        <v>1608</v>
      </c>
      <c r="J13" s="6" t="s">
        <v>41</v>
      </c>
      <c r="K13" s="6" t="s">
        <v>1609</v>
      </c>
      <c r="L13" s="6" t="s">
        <v>1610</v>
      </c>
    </row>
    <row r="14" customFormat="false" ht="68.65" hidden="false" customHeight="false" outlineLevel="0" collapsed="false">
      <c r="A14" s="6" t="s">
        <v>1611</v>
      </c>
      <c r="B14" s="6" t="s">
        <v>1612</v>
      </c>
      <c r="C14" s="6" t="s">
        <v>1613</v>
      </c>
      <c r="D14" s="6" t="s">
        <v>1614</v>
      </c>
      <c r="E14" s="6" t="s">
        <v>1615</v>
      </c>
      <c r="F14" s="6" t="s">
        <v>1616</v>
      </c>
      <c r="G14" s="6" t="s">
        <v>1617</v>
      </c>
      <c r="H14" s="6" t="s">
        <v>1618</v>
      </c>
      <c r="I14" s="6" t="s">
        <v>1619</v>
      </c>
      <c r="J14" s="6" t="s">
        <v>41</v>
      </c>
      <c r="K14" s="6" t="s">
        <v>1620</v>
      </c>
      <c r="L14" s="6" t="s">
        <v>1621</v>
      </c>
    </row>
    <row r="15" customFormat="false" ht="46.25" hidden="false" customHeight="false" outlineLevel="0" collapsed="false">
      <c r="A15" s="6" t="s">
        <v>1622</v>
      </c>
      <c r="B15" s="6" t="s">
        <v>1623</v>
      </c>
      <c r="C15" s="6" t="s">
        <v>1624</v>
      </c>
      <c r="D15" s="6" t="s">
        <v>1625</v>
      </c>
      <c r="E15" s="6" t="s">
        <v>1626</v>
      </c>
      <c r="F15" s="6" t="s">
        <v>1627</v>
      </c>
      <c r="G15" s="6" t="s">
        <v>1628</v>
      </c>
      <c r="H15" s="6" t="s">
        <v>1629</v>
      </c>
      <c r="I15" s="6" t="s">
        <v>1619</v>
      </c>
      <c r="J15" s="6" t="s">
        <v>40</v>
      </c>
      <c r="K15" s="6" t="s">
        <v>1630</v>
      </c>
      <c r="L15" s="6" t="s">
        <v>1631</v>
      </c>
    </row>
    <row r="16" customFormat="false" ht="46.25" hidden="false" customHeight="false" outlineLevel="0" collapsed="false">
      <c r="A16" s="6" t="s">
        <v>1632</v>
      </c>
      <c r="B16" s="6" t="s">
        <v>1633</v>
      </c>
      <c r="C16" s="6" t="s">
        <v>1634</v>
      </c>
      <c r="D16" s="6" t="s">
        <v>1635</v>
      </c>
      <c r="E16" s="6" t="s">
        <v>1636</v>
      </c>
      <c r="F16" s="6" t="s">
        <v>1637</v>
      </c>
      <c r="G16" s="6" t="s">
        <v>1638</v>
      </c>
      <c r="H16" s="6" t="s">
        <v>1639</v>
      </c>
      <c r="I16" s="6" t="s">
        <v>1640</v>
      </c>
      <c r="J16" s="6" t="s">
        <v>41</v>
      </c>
      <c r="K16" s="6" t="s">
        <v>1641</v>
      </c>
      <c r="L16" s="6" t="s">
        <v>1642</v>
      </c>
    </row>
    <row r="17" customFormat="false" ht="46.25" hidden="false" customHeight="false" outlineLevel="0" collapsed="false">
      <c r="A17" s="6" t="s">
        <v>1643</v>
      </c>
      <c r="B17" s="6" t="s">
        <v>1644</v>
      </c>
      <c r="C17" s="6" t="s">
        <v>1645</v>
      </c>
      <c r="D17" s="6" t="s">
        <v>1646</v>
      </c>
      <c r="E17" s="6" t="s">
        <v>1647</v>
      </c>
      <c r="F17" s="6" t="s">
        <v>1648</v>
      </c>
      <c r="G17" s="6" t="s">
        <v>1649</v>
      </c>
      <c r="H17" s="6" t="s">
        <v>1506</v>
      </c>
      <c r="I17" s="6" t="s">
        <v>103</v>
      </c>
      <c r="J17" s="6" t="s">
        <v>41</v>
      </c>
      <c r="K17" s="6" t="s">
        <v>1650</v>
      </c>
      <c r="L17" s="6" t="s">
        <v>1651</v>
      </c>
    </row>
    <row r="18" customFormat="false" ht="79.85" hidden="false" customHeight="false" outlineLevel="0" collapsed="false">
      <c r="A18" s="6" t="s">
        <v>1652</v>
      </c>
      <c r="B18" s="6" t="s">
        <v>1653</v>
      </c>
      <c r="C18" s="6" t="s">
        <v>1654</v>
      </c>
      <c r="D18" s="6" t="s">
        <v>1655</v>
      </c>
      <c r="E18" s="6" t="s">
        <v>1656</v>
      </c>
      <c r="F18" s="6" t="s">
        <v>1657</v>
      </c>
      <c r="G18" s="6" t="s">
        <v>1658</v>
      </c>
      <c r="H18" s="6" t="s">
        <v>1506</v>
      </c>
      <c r="I18" s="6" t="s">
        <v>1659</v>
      </c>
      <c r="J18" s="6" t="s">
        <v>42</v>
      </c>
      <c r="K18" s="6" t="s">
        <v>1660</v>
      </c>
      <c r="L18" s="6" t="s">
        <v>1661</v>
      </c>
    </row>
    <row r="19" customFormat="false" ht="57.45" hidden="false" customHeight="false" outlineLevel="0" collapsed="false">
      <c r="A19" s="6" t="s">
        <v>1662</v>
      </c>
      <c r="B19" s="6" t="s">
        <v>1663</v>
      </c>
      <c r="C19" s="6" t="s">
        <v>1664</v>
      </c>
      <c r="D19" s="6" t="s">
        <v>1665</v>
      </c>
      <c r="E19" s="6" t="s">
        <v>1666</v>
      </c>
      <c r="F19" s="6" t="s">
        <v>1667</v>
      </c>
      <c r="G19" s="6" t="s">
        <v>1668</v>
      </c>
      <c r="H19" s="6" t="s">
        <v>1669</v>
      </c>
      <c r="I19" s="6" t="s">
        <v>1670</v>
      </c>
      <c r="J19" s="6" t="s">
        <v>40</v>
      </c>
      <c r="K19" s="6" t="s">
        <v>1671</v>
      </c>
      <c r="L19" s="6" t="s">
        <v>1672</v>
      </c>
    </row>
    <row r="20" customFormat="false" ht="68.65" hidden="false" customHeight="false" outlineLevel="0" collapsed="false">
      <c r="A20" s="6" t="s">
        <v>1673</v>
      </c>
      <c r="B20" s="6" t="s">
        <v>1674</v>
      </c>
      <c r="C20" s="6" t="s">
        <v>1675</v>
      </c>
      <c r="D20" s="6" t="s">
        <v>1676</v>
      </c>
      <c r="E20" s="6" t="s">
        <v>1677</v>
      </c>
      <c r="F20" s="6" t="s">
        <v>1637</v>
      </c>
      <c r="G20" s="6" t="s">
        <v>1678</v>
      </c>
      <c r="H20" s="6" t="s">
        <v>1679</v>
      </c>
      <c r="I20" s="6" t="s">
        <v>347</v>
      </c>
      <c r="J20" s="6" t="s">
        <v>40</v>
      </c>
      <c r="K20" s="6" t="s">
        <v>1680</v>
      </c>
      <c r="L20" s="6" t="s">
        <v>1681</v>
      </c>
    </row>
    <row r="21" customFormat="false" ht="68.65" hidden="false" customHeight="false" outlineLevel="0" collapsed="false">
      <c r="A21" s="6" t="s">
        <v>1682</v>
      </c>
      <c r="B21" s="6" t="s">
        <v>1683</v>
      </c>
      <c r="C21" s="6" t="s">
        <v>1684</v>
      </c>
      <c r="D21" s="6" t="s">
        <v>1685</v>
      </c>
      <c r="E21" s="6" t="s">
        <v>1686</v>
      </c>
      <c r="F21" s="6" t="s">
        <v>1687</v>
      </c>
      <c r="G21" s="6" t="s">
        <v>1688</v>
      </c>
      <c r="H21" s="6" t="s">
        <v>1689</v>
      </c>
      <c r="I21" s="6" t="s">
        <v>1690</v>
      </c>
      <c r="J21" s="6" t="s">
        <v>42</v>
      </c>
      <c r="K21" s="6" t="s">
        <v>1691</v>
      </c>
      <c r="L21" s="6" t="s">
        <v>1692</v>
      </c>
    </row>
    <row r="22" customFormat="false" ht="57.45" hidden="false" customHeight="false" outlineLevel="0" collapsed="false">
      <c r="A22" s="6" t="s">
        <v>1693</v>
      </c>
      <c r="B22" s="6" t="s">
        <v>1694</v>
      </c>
      <c r="C22" s="6" t="s">
        <v>1695</v>
      </c>
      <c r="D22" s="6" t="s">
        <v>1696</v>
      </c>
      <c r="E22" s="6" t="s">
        <v>1697</v>
      </c>
      <c r="F22" s="6" t="s">
        <v>1698</v>
      </c>
      <c r="G22" s="6" t="s">
        <v>1699</v>
      </c>
      <c r="H22" s="6" t="s">
        <v>1700</v>
      </c>
      <c r="I22" s="6" t="s">
        <v>103</v>
      </c>
      <c r="J22" s="6" t="s">
        <v>41</v>
      </c>
      <c r="K22" s="6" t="s">
        <v>1701</v>
      </c>
      <c r="L22" s="6" t="s">
        <v>1702</v>
      </c>
    </row>
    <row r="23" customFormat="false" ht="57.45" hidden="false" customHeight="false" outlineLevel="0" collapsed="false">
      <c r="A23" s="6" t="s">
        <v>1703</v>
      </c>
      <c r="B23" s="6" t="s">
        <v>1704</v>
      </c>
      <c r="C23" s="6" t="s">
        <v>1705</v>
      </c>
      <c r="D23" s="6" t="s">
        <v>1706</v>
      </c>
      <c r="E23" s="6" t="s">
        <v>1707</v>
      </c>
      <c r="F23" s="6" t="s">
        <v>1708</v>
      </c>
      <c r="G23" s="6" t="s">
        <v>1709</v>
      </c>
      <c r="H23" s="6" t="s">
        <v>1607</v>
      </c>
      <c r="I23" s="6" t="s">
        <v>1507</v>
      </c>
      <c r="J23" s="6" t="s">
        <v>42</v>
      </c>
      <c r="K23" s="6" t="s">
        <v>1710</v>
      </c>
      <c r="L23" s="6" t="s">
        <v>1711</v>
      </c>
    </row>
    <row r="24" customFormat="false" ht="46.25" hidden="false" customHeight="false" outlineLevel="0" collapsed="false">
      <c r="A24" s="6" t="s">
        <v>1712</v>
      </c>
      <c r="B24" s="6" t="s">
        <v>1713</v>
      </c>
      <c r="C24" s="6" t="s">
        <v>1714</v>
      </c>
      <c r="D24" s="6" t="s">
        <v>1715</v>
      </c>
      <c r="E24" s="6" t="s">
        <v>1716</v>
      </c>
      <c r="F24" s="6" t="s">
        <v>1717</v>
      </c>
      <c r="G24" s="6" t="s">
        <v>1718</v>
      </c>
      <c r="H24" s="6" t="s">
        <v>1569</v>
      </c>
      <c r="I24" s="6" t="s">
        <v>103</v>
      </c>
      <c r="J24" s="6" t="s">
        <v>40</v>
      </c>
      <c r="K24" s="6" t="s">
        <v>1719</v>
      </c>
      <c r="L24" s="6" t="s">
        <v>1720</v>
      </c>
    </row>
    <row r="25" customFormat="false" ht="68.65" hidden="false" customHeight="false" outlineLevel="0" collapsed="false">
      <c r="A25" s="6" t="s">
        <v>1721</v>
      </c>
      <c r="B25" s="6" t="s">
        <v>1722</v>
      </c>
      <c r="C25" s="6" t="s">
        <v>1723</v>
      </c>
      <c r="D25" s="6" t="s">
        <v>1724</v>
      </c>
      <c r="E25" s="6" t="s">
        <v>1725</v>
      </c>
      <c r="F25" s="6" t="s">
        <v>1726</v>
      </c>
      <c r="G25" s="6" t="s">
        <v>1727</v>
      </c>
      <c r="H25" s="6" t="s">
        <v>1569</v>
      </c>
      <c r="I25" s="6" t="s">
        <v>1728</v>
      </c>
      <c r="J25" s="6" t="s">
        <v>41</v>
      </c>
      <c r="K25" s="6" t="s">
        <v>1729</v>
      </c>
      <c r="L25" s="6" t="s">
        <v>1730</v>
      </c>
    </row>
    <row r="26" customFormat="false" ht="57.45" hidden="false" customHeight="false" outlineLevel="0" collapsed="false">
      <c r="A26" s="6" t="s">
        <v>1731</v>
      </c>
      <c r="B26" s="6" t="s">
        <v>1732</v>
      </c>
      <c r="C26" s="6" t="s">
        <v>1733</v>
      </c>
      <c r="D26" s="6" t="s">
        <v>1734</v>
      </c>
      <c r="E26" s="6" t="s">
        <v>1735</v>
      </c>
      <c r="F26" s="6" t="s">
        <v>1736</v>
      </c>
      <c r="G26" s="6" t="s">
        <v>1737</v>
      </c>
      <c r="H26" s="6" t="s">
        <v>1738</v>
      </c>
      <c r="I26" s="6" t="s">
        <v>1739</v>
      </c>
      <c r="J26" s="6" t="s">
        <v>42</v>
      </c>
      <c r="K26" s="6" t="s">
        <v>1740</v>
      </c>
      <c r="L26" s="6" t="s">
        <v>1741</v>
      </c>
    </row>
    <row r="27" customFormat="false" ht="57.45" hidden="false" customHeight="false" outlineLevel="0" collapsed="false">
      <c r="A27" s="6" t="s">
        <v>1742</v>
      </c>
      <c r="B27" s="6" t="s">
        <v>1743</v>
      </c>
      <c r="C27" s="6" t="s">
        <v>1744</v>
      </c>
      <c r="D27" s="6" t="s">
        <v>1745</v>
      </c>
      <c r="E27" s="6" t="s">
        <v>1746</v>
      </c>
      <c r="F27" s="6" t="s">
        <v>1747</v>
      </c>
      <c r="G27" s="6" t="s">
        <v>1748</v>
      </c>
      <c r="H27" s="6" t="s">
        <v>1749</v>
      </c>
      <c r="I27" s="6" t="s">
        <v>619</v>
      </c>
      <c r="J27" s="6" t="s">
        <v>42</v>
      </c>
      <c r="K27" s="6" t="s">
        <v>1750</v>
      </c>
      <c r="L27" s="6" t="s">
        <v>1751</v>
      </c>
    </row>
    <row r="28" customFormat="false" ht="57.45" hidden="false" customHeight="false" outlineLevel="0" collapsed="false">
      <c r="A28" s="6" t="s">
        <v>1752</v>
      </c>
      <c r="B28" s="6" t="s">
        <v>1753</v>
      </c>
      <c r="C28" s="6" t="s">
        <v>1754</v>
      </c>
      <c r="D28" s="6" t="s">
        <v>1755</v>
      </c>
      <c r="E28" s="6" t="s">
        <v>1756</v>
      </c>
      <c r="F28" s="6" t="s">
        <v>1757</v>
      </c>
      <c r="G28" s="6" t="s">
        <v>1758</v>
      </c>
      <c r="H28" s="6" t="s">
        <v>1759</v>
      </c>
      <c r="I28" s="6" t="s">
        <v>1760</v>
      </c>
      <c r="J28" s="6" t="s">
        <v>41</v>
      </c>
      <c r="K28" s="6" t="s">
        <v>1761</v>
      </c>
      <c r="L28" s="6" t="s">
        <v>406</v>
      </c>
    </row>
    <row r="29" customFormat="false" ht="46.25" hidden="false" customHeight="false" outlineLevel="0" collapsed="false">
      <c r="A29" s="6" t="s">
        <v>1762</v>
      </c>
      <c r="B29" s="6" t="s">
        <v>1763</v>
      </c>
      <c r="C29" s="6" t="s">
        <v>1764</v>
      </c>
      <c r="D29" s="6" t="s">
        <v>1765</v>
      </c>
      <c r="E29" s="6" t="s">
        <v>1766</v>
      </c>
      <c r="F29" s="6" t="s">
        <v>1767</v>
      </c>
      <c r="G29" s="6" t="s">
        <v>1768</v>
      </c>
      <c r="H29" s="6" t="s">
        <v>1769</v>
      </c>
      <c r="I29" s="6" t="s">
        <v>1770</v>
      </c>
      <c r="J29" s="6" t="s">
        <v>40</v>
      </c>
      <c r="K29" s="6" t="s">
        <v>1771</v>
      </c>
      <c r="L29" s="6" t="s">
        <v>1772</v>
      </c>
    </row>
    <row r="30" customFormat="false" ht="57.45" hidden="false" customHeight="false" outlineLevel="0" collapsed="false">
      <c r="A30" s="6" t="s">
        <v>1773</v>
      </c>
      <c r="B30" s="6" t="s">
        <v>1774</v>
      </c>
      <c r="C30" s="6" t="s">
        <v>1775</v>
      </c>
      <c r="D30" s="6" t="s">
        <v>1776</v>
      </c>
      <c r="E30" s="6" t="s">
        <v>1777</v>
      </c>
      <c r="F30" s="6" t="s">
        <v>1778</v>
      </c>
      <c r="G30" s="6" t="s">
        <v>1779</v>
      </c>
      <c r="H30" s="6" t="s">
        <v>1780</v>
      </c>
      <c r="I30" s="6" t="s">
        <v>1781</v>
      </c>
      <c r="J30" s="6" t="s">
        <v>41</v>
      </c>
      <c r="K30" s="6" t="s">
        <v>1782</v>
      </c>
      <c r="L30" s="6" t="s">
        <v>765</v>
      </c>
    </row>
  </sheetData>
  <autoFilter ref="A1:L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
    <col collapsed="false" customWidth="true" hidden="false" outlineLevel="0" max="3" min="3" style="0" width="24"/>
    <col collapsed="false" customWidth="true" hidden="false" outlineLevel="0" max="4" min="4" style="0" width="12"/>
    <col collapsed="false" customWidth="true" hidden="false" outlineLevel="0" max="5" min="5" style="0" width="45"/>
    <col collapsed="false" customWidth="true" hidden="false" outlineLevel="0" max="6" min="6" style="0" width="60"/>
  </cols>
  <sheetData>
    <row r="1" customFormat="false" ht="23.85" hidden="false" customHeight="false" outlineLevel="0" collapsed="false">
      <c r="A1" s="5" t="s">
        <v>1783</v>
      </c>
      <c r="B1" s="5" t="s">
        <v>1784</v>
      </c>
      <c r="C1" s="5" t="s">
        <v>1785</v>
      </c>
      <c r="D1" s="5" t="s">
        <v>59</v>
      </c>
      <c r="E1" s="5" t="s">
        <v>1381</v>
      </c>
      <c r="F1" s="5" t="s">
        <v>1786</v>
      </c>
    </row>
    <row r="2" customFormat="false" ht="23.85" hidden="false" customHeight="false" outlineLevel="0" collapsed="false">
      <c r="A2" s="6" t="s">
        <v>1787</v>
      </c>
      <c r="B2" s="6" t="n">
        <v>1</v>
      </c>
      <c r="C2" s="6" t="s">
        <v>1788</v>
      </c>
      <c r="D2" s="6" t="s">
        <v>162</v>
      </c>
      <c r="E2" s="6" t="s">
        <v>163</v>
      </c>
      <c r="F2" s="6" t="s">
        <v>1789</v>
      </c>
    </row>
    <row r="3" customFormat="false" ht="23.85" hidden="false" customHeight="false" outlineLevel="0" collapsed="false">
      <c r="A3" s="6" t="s">
        <v>1787</v>
      </c>
      <c r="B3" s="6" t="n">
        <v>2</v>
      </c>
      <c r="C3" s="6" t="s">
        <v>1790</v>
      </c>
      <c r="D3" s="6" t="s">
        <v>172</v>
      </c>
      <c r="E3" s="6" t="s">
        <v>177</v>
      </c>
      <c r="F3" s="6" t="s">
        <v>1789</v>
      </c>
    </row>
    <row r="4" customFormat="false" ht="23.85" hidden="false" customHeight="false" outlineLevel="0" collapsed="false">
      <c r="A4" s="6" t="s">
        <v>1787</v>
      </c>
      <c r="B4" s="6" t="n">
        <v>3</v>
      </c>
      <c r="C4" s="6" t="s">
        <v>1791</v>
      </c>
      <c r="D4" s="6" t="s">
        <v>186</v>
      </c>
      <c r="E4" s="6" t="s">
        <v>189</v>
      </c>
      <c r="F4" s="6" t="s">
        <v>1789</v>
      </c>
    </row>
    <row r="5" customFormat="false" ht="23.85" hidden="false" customHeight="false" outlineLevel="0" collapsed="false">
      <c r="A5" s="6" t="s">
        <v>1787</v>
      </c>
      <c r="B5" s="6" t="n">
        <v>4</v>
      </c>
      <c r="C5" s="6" t="s">
        <v>1792</v>
      </c>
      <c r="D5" s="6" t="s">
        <v>651</v>
      </c>
      <c r="E5" s="6" t="s">
        <v>652</v>
      </c>
      <c r="F5" s="6" t="s">
        <v>1789</v>
      </c>
    </row>
    <row r="6" customFormat="false" ht="23.85" hidden="false" customHeight="false" outlineLevel="0" collapsed="false">
      <c r="A6" s="6" t="s">
        <v>1787</v>
      </c>
      <c r="B6" s="6" t="n">
        <v>5</v>
      </c>
      <c r="C6" s="6" t="s">
        <v>1793</v>
      </c>
      <c r="D6" s="6" t="s">
        <v>671</v>
      </c>
      <c r="E6" s="6" t="s">
        <v>672</v>
      </c>
      <c r="F6" s="6" t="s">
        <v>1789</v>
      </c>
    </row>
    <row r="7" customFormat="false" ht="23.85" hidden="false" customHeight="false" outlineLevel="0" collapsed="false">
      <c r="A7" s="6" t="s">
        <v>1787</v>
      </c>
      <c r="B7" s="6" t="n">
        <v>6</v>
      </c>
      <c r="C7" s="6" t="s">
        <v>1794</v>
      </c>
      <c r="D7" s="6" t="s">
        <v>659</v>
      </c>
      <c r="E7" s="6" t="s">
        <v>664</v>
      </c>
      <c r="F7" s="6" t="s">
        <v>1789</v>
      </c>
    </row>
    <row r="8" customFormat="false" ht="23.85" hidden="false" customHeight="false" outlineLevel="0" collapsed="false">
      <c r="A8" s="6" t="s">
        <v>1787</v>
      </c>
      <c r="B8" s="6" t="n">
        <v>7</v>
      </c>
      <c r="C8" s="6" t="s">
        <v>1795</v>
      </c>
      <c r="D8" s="6" t="s">
        <v>201</v>
      </c>
      <c r="E8" s="6" t="s">
        <v>202</v>
      </c>
      <c r="F8" s="6" t="s">
        <v>1789</v>
      </c>
    </row>
    <row r="9" customFormat="false" ht="23.85" hidden="false" customHeight="false" outlineLevel="0" collapsed="false">
      <c r="A9" s="6" t="s">
        <v>1787</v>
      </c>
      <c r="B9" s="6" t="n">
        <v>8</v>
      </c>
      <c r="C9" s="6" t="s">
        <v>1796</v>
      </c>
      <c r="D9" s="6" t="s">
        <v>454</v>
      </c>
      <c r="E9" s="6" t="s">
        <v>455</v>
      </c>
      <c r="F9" s="6" t="s">
        <v>1789</v>
      </c>
    </row>
    <row r="10" customFormat="false" ht="23.85" hidden="false" customHeight="false" outlineLevel="0" collapsed="false">
      <c r="A10" s="6" t="s">
        <v>1787</v>
      </c>
      <c r="B10" s="6" t="n">
        <v>9</v>
      </c>
      <c r="C10" s="6" t="s">
        <v>1797</v>
      </c>
      <c r="D10" s="6" t="s">
        <v>461</v>
      </c>
      <c r="E10" s="6" t="s">
        <v>463</v>
      </c>
      <c r="F10" s="6" t="s">
        <v>1789</v>
      </c>
    </row>
    <row r="11" customFormat="false" ht="15" hidden="false" customHeight="false" outlineLevel="0" collapsed="false">
      <c r="A11" s="6" t="s">
        <v>1798</v>
      </c>
      <c r="B11" s="6" t="n">
        <v>1</v>
      </c>
      <c r="C11" s="6" t="s">
        <v>1790</v>
      </c>
      <c r="D11" s="6" t="s">
        <v>774</v>
      </c>
      <c r="E11" s="6" t="s">
        <v>775</v>
      </c>
      <c r="F11" s="6" t="s">
        <v>1799</v>
      </c>
    </row>
    <row r="12" customFormat="false" ht="15" hidden="false" customHeight="false" outlineLevel="0" collapsed="false">
      <c r="A12" s="6" t="s">
        <v>1798</v>
      </c>
      <c r="B12" s="6" t="n">
        <v>2</v>
      </c>
      <c r="C12" s="6" t="s">
        <v>1800</v>
      </c>
      <c r="D12" s="6" t="s">
        <v>786</v>
      </c>
      <c r="E12" s="6" t="s">
        <v>787</v>
      </c>
      <c r="F12" s="6" t="s">
        <v>1799</v>
      </c>
    </row>
    <row r="13" customFormat="false" ht="15" hidden="false" customHeight="false" outlineLevel="0" collapsed="false">
      <c r="A13" s="6" t="s">
        <v>1798</v>
      </c>
      <c r="B13" s="6" t="n">
        <v>3</v>
      </c>
      <c r="C13" s="6" t="s">
        <v>1801</v>
      </c>
      <c r="D13" s="6" t="s">
        <v>814</v>
      </c>
      <c r="E13" s="6" t="s">
        <v>815</v>
      </c>
      <c r="F13" s="6" t="s">
        <v>1799</v>
      </c>
    </row>
    <row r="14" customFormat="false" ht="15" hidden="false" customHeight="false" outlineLevel="0" collapsed="false">
      <c r="A14" s="6" t="s">
        <v>1798</v>
      </c>
      <c r="B14" s="6" t="n">
        <v>4</v>
      </c>
      <c r="C14" s="6" t="s">
        <v>1802</v>
      </c>
      <c r="D14" s="6" t="s">
        <v>821</v>
      </c>
      <c r="E14" s="6" t="s">
        <v>831</v>
      </c>
      <c r="F14" s="6" t="s">
        <v>1799</v>
      </c>
    </row>
    <row r="15" customFormat="false" ht="15" hidden="false" customHeight="false" outlineLevel="0" collapsed="false">
      <c r="A15" s="6" t="s">
        <v>1798</v>
      </c>
      <c r="B15" s="6" t="n">
        <v>5</v>
      </c>
      <c r="C15" s="6" t="s">
        <v>1803</v>
      </c>
      <c r="D15" s="6" t="s">
        <v>823</v>
      </c>
      <c r="E15" s="6" t="s">
        <v>824</v>
      </c>
      <c r="F15" s="6" t="s">
        <v>1799</v>
      </c>
    </row>
    <row r="16" customFormat="false" ht="15" hidden="false" customHeight="false" outlineLevel="0" collapsed="false">
      <c r="A16" s="6" t="s">
        <v>1798</v>
      </c>
      <c r="B16" s="6" t="n">
        <v>6</v>
      </c>
      <c r="C16" s="6" t="s">
        <v>1804</v>
      </c>
      <c r="D16" s="6" t="s">
        <v>829</v>
      </c>
      <c r="E16" s="6" t="s">
        <v>848</v>
      </c>
      <c r="F16" s="6" t="s">
        <v>1799</v>
      </c>
    </row>
    <row r="17" customFormat="false" ht="15" hidden="false" customHeight="false" outlineLevel="0" collapsed="false">
      <c r="A17" s="6" t="s">
        <v>1798</v>
      </c>
      <c r="B17" s="6" t="n">
        <v>7</v>
      </c>
      <c r="C17" s="6" t="s">
        <v>1805</v>
      </c>
      <c r="D17" s="6" t="s">
        <v>279</v>
      </c>
      <c r="E17" s="6" t="s">
        <v>280</v>
      </c>
      <c r="F17" s="6" t="s">
        <v>1799</v>
      </c>
    </row>
    <row r="18" customFormat="false" ht="15" hidden="false" customHeight="false" outlineLevel="0" collapsed="false">
      <c r="A18" s="6" t="s">
        <v>1806</v>
      </c>
      <c r="B18" s="6" t="n">
        <v>1</v>
      </c>
      <c r="C18" s="6" t="s">
        <v>1807</v>
      </c>
      <c r="D18" s="6" t="s">
        <v>796</v>
      </c>
      <c r="E18" s="6" t="s">
        <v>797</v>
      </c>
      <c r="F18" s="6" t="s">
        <v>1808</v>
      </c>
    </row>
    <row r="19" customFormat="false" ht="15" hidden="false" customHeight="false" outlineLevel="0" collapsed="false">
      <c r="A19" s="6" t="s">
        <v>1806</v>
      </c>
      <c r="B19" s="6" t="n">
        <v>2</v>
      </c>
      <c r="C19" s="6" t="s">
        <v>1809</v>
      </c>
      <c r="D19" s="6" t="s">
        <v>834</v>
      </c>
      <c r="E19" s="6" t="s">
        <v>835</v>
      </c>
      <c r="F19" s="6" t="s">
        <v>1808</v>
      </c>
    </row>
    <row r="20" customFormat="false" ht="15" hidden="false" customHeight="false" outlineLevel="0" collapsed="false">
      <c r="A20" s="6" t="s">
        <v>1806</v>
      </c>
      <c r="B20" s="6" t="n">
        <v>3</v>
      </c>
      <c r="C20" s="6" t="s">
        <v>1810</v>
      </c>
      <c r="D20" s="6" t="s">
        <v>853</v>
      </c>
      <c r="E20" s="6" t="s">
        <v>854</v>
      </c>
      <c r="F20" s="6" t="s">
        <v>1808</v>
      </c>
    </row>
    <row r="21" customFormat="false" ht="15" hidden="false" customHeight="false" outlineLevel="0" collapsed="false">
      <c r="A21" s="6" t="s">
        <v>1806</v>
      </c>
      <c r="B21" s="6" t="n">
        <v>4</v>
      </c>
      <c r="C21" s="6" t="s">
        <v>1811</v>
      </c>
      <c r="D21" s="6" t="s">
        <v>805</v>
      </c>
      <c r="E21" s="6" t="s">
        <v>806</v>
      </c>
      <c r="F21" s="6" t="s">
        <v>1808</v>
      </c>
    </row>
    <row r="22" customFormat="false" ht="15" hidden="false" customHeight="false" outlineLevel="0" collapsed="false">
      <c r="A22" s="6" t="s">
        <v>1806</v>
      </c>
      <c r="B22" s="6" t="n">
        <v>5</v>
      </c>
      <c r="C22" s="6" t="s">
        <v>1812</v>
      </c>
      <c r="D22" s="6" t="s">
        <v>812</v>
      </c>
      <c r="E22" s="6" t="s">
        <v>840</v>
      </c>
      <c r="F22" s="6" t="s">
        <v>1808</v>
      </c>
    </row>
    <row r="23" customFormat="false" ht="15" hidden="false" customHeight="false" outlineLevel="0" collapsed="false">
      <c r="A23" s="6" t="s">
        <v>1813</v>
      </c>
      <c r="B23" s="6" t="n">
        <v>1</v>
      </c>
      <c r="C23" s="6" t="s">
        <v>1814</v>
      </c>
      <c r="D23" s="6" t="s">
        <v>680</v>
      </c>
      <c r="E23" s="6" t="s">
        <v>681</v>
      </c>
      <c r="F23" s="6" t="s">
        <v>1815</v>
      </c>
    </row>
    <row r="24" customFormat="false" ht="15" hidden="false" customHeight="false" outlineLevel="0" collapsed="false">
      <c r="A24" s="6" t="s">
        <v>1813</v>
      </c>
      <c r="B24" s="6" t="n">
        <v>2</v>
      </c>
      <c r="C24" s="6" t="s">
        <v>1816</v>
      </c>
      <c r="D24" s="6" t="s">
        <v>690</v>
      </c>
      <c r="E24" s="6" t="s">
        <v>691</v>
      </c>
      <c r="F24" s="6" t="s">
        <v>1815</v>
      </c>
    </row>
    <row r="25" customFormat="false" ht="15" hidden="false" customHeight="false" outlineLevel="0" collapsed="false">
      <c r="A25" s="6" t="s">
        <v>1813</v>
      </c>
      <c r="B25" s="6" t="n">
        <v>3</v>
      </c>
      <c r="C25" s="6" t="s">
        <v>1817</v>
      </c>
      <c r="D25" s="6" t="s">
        <v>705</v>
      </c>
      <c r="E25" s="6" t="s">
        <v>706</v>
      </c>
      <c r="F25" s="6" t="s">
        <v>1815</v>
      </c>
    </row>
    <row r="26" customFormat="false" ht="23.85" hidden="false" customHeight="false" outlineLevel="0" collapsed="false">
      <c r="A26" s="6" t="s">
        <v>1813</v>
      </c>
      <c r="B26" s="6" t="n">
        <v>4</v>
      </c>
      <c r="C26" s="6" t="s">
        <v>1818</v>
      </c>
      <c r="D26" s="6" t="s">
        <v>712</v>
      </c>
      <c r="E26" s="6" t="s">
        <v>714</v>
      </c>
      <c r="F26" s="6" t="s">
        <v>1815</v>
      </c>
    </row>
    <row r="27" customFormat="false" ht="15" hidden="false" customHeight="false" outlineLevel="0" collapsed="false">
      <c r="A27" s="6" t="s">
        <v>1813</v>
      </c>
      <c r="B27" s="6" t="n">
        <v>5</v>
      </c>
      <c r="C27" s="6" t="s">
        <v>1819</v>
      </c>
      <c r="D27" s="6" t="s">
        <v>698</v>
      </c>
      <c r="E27" s="6" t="s">
        <v>699</v>
      </c>
      <c r="F27" s="6" t="s">
        <v>1815</v>
      </c>
    </row>
    <row r="28" customFormat="false" ht="15" hidden="false" customHeight="false" outlineLevel="0" collapsed="false">
      <c r="A28" s="6" t="s">
        <v>1813</v>
      </c>
      <c r="B28" s="6" t="n">
        <v>6</v>
      </c>
      <c r="C28" s="6" t="s">
        <v>1820</v>
      </c>
      <c r="D28" s="6" t="s">
        <v>1017</v>
      </c>
      <c r="E28" s="6" t="s">
        <v>1018</v>
      </c>
      <c r="F28" s="6" t="s">
        <v>1815</v>
      </c>
    </row>
    <row r="29" customFormat="false" ht="15" hidden="false" customHeight="false" outlineLevel="0" collapsed="false">
      <c r="A29" s="6" t="s">
        <v>1821</v>
      </c>
      <c r="B29" s="6" t="n">
        <v>1</v>
      </c>
      <c r="C29" s="6" t="s">
        <v>1822</v>
      </c>
      <c r="D29" s="6" t="s">
        <v>993</v>
      </c>
      <c r="E29" s="6" t="s">
        <v>994</v>
      </c>
      <c r="F29" s="6" t="s">
        <v>1823</v>
      </c>
    </row>
    <row r="30" customFormat="false" ht="15" hidden="false" customHeight="false" outlineLevel="0" collapsed="false">
      <c r="A30" s="6" t="s">
        <v>1821</v>
      </c>
      <c r="B30" s="6" t="n">
        <v>2</v>
      </c>
      <c r="C30" s="6" t="s">
        <v>1824</v>
      </c>
      <c r="D30" s="6" t="s">
        <v>1003</v>
      </c>
      <c r="E30" s="6" t="s">
        <v>1004</v>
      </c>
      <c r="F30" s="6" t="s">
        <v>1823</v>
      </c>
    </row>
    <row r="31" customFormat="false" ht="15" hidden="false" customHeight="false" outlineLevel="0" collapsed="false">
      <c r="A31" s="6" t="s">
        <v>1821</v>
      </c>
      <c r="B31" s="6" t="n">
        <v>3</v>
      </c>
      <c r="C31" s="6" t="s">
        <v>1825</v>
      </c>
      <c r="D31" s="6" t="s">
        <v>1010</v>
      </c>
      <c r="E31" s="6" t="s">
        <v>1013</v>
      </c>
      <c r="F31" s="6" t="s">
        <v>1823</v>
      </c>
    </row>
    <row r="32" customFormat="false" ht="15" hidden="false" customHeight="false" outlineLevel="0" collapsed="false">
      <c r="A32" s="6" t="s">
        <v>1821</v>
      </c>
      <c r="B32" s="6" t="n">
        <v>4</v>
      </c>
      <c r="C32" s="6" t="s">
        <v>1826</v>
      </c>
      <c r="D32" s="6" t="s">
        <v>1087</v>
      </c>
      <c r="E32" s="6" t="s">
        <v>1089</v>
      </c>
      <c r="F32" s="6" t="s">
        <v>1823</v>
      </c>
    </row>
    <row r="33" customFormat="false" ht="15" hidden="false" customHeight="false" outlineLevel="0" collapsed="false">
      <c r="A33" s="6" t="s">
        <v>1821</v>
      </c>
      <c r="B33" s="6" t="n">
        <v>5</v>
      </c>
      <c r="C33" s="6" t="s">
        <v>1827</v>
      </c>
      <c r="D33" s="6" t="s">
        <v>1094</v>
      </c>
      <c r="E33" s="6" t="s">
        <v>1096</v>
      </c>
      <c r="F33" s="6" t="s">
        <v>1823</v>
      </c>
    </row>
    <row r="34" customFormat="false" ht="15" hidden="false" customHeight="false" outlineLevel="0" collapsed="false">
      <c r="A34" s="6" t="s">
        <v>1828</v>
      </c>
      <c r="B34" s="6" t="n">
        <v>1</v>
      </c>
      <c r="C34" s="6" t="s">
        <v>1829</v>
      </c>
      <c r="D34" s="6" t="s">
        <v>1123</v>
      </c>
      <c r="E34" s="6" t="s">
        <v>1124</v>
      </c>
      <c r="F34" s="6" t="s">
        <v>1830</v>
      </c>
    </row>
    <row r="35" customFormat="false" ht="15" hidden="false" customHeight="false" outlineLevel="0" collapsed="false">
      <c r="A35" s="6" t="s">
        <v>1828</v>
      </c>
      <c r="B35" s="6" t="n">
        <v>2</v>
      </c>
      <c r="C35" s="6" t="s">
        <v>1831</v>
      </c>
      <c r="D35" s="6" t="s">
        <v>1149</v>
      </c>
      <c r="E35" s="6" t="s">
        <v>1150</v>
      </c>
      <c r="F35" s="6" t="s">
        <v>1830</v>
      </c>
    </row>
    <row r="36" customFormat="false" ht="15" hidden="false" customHeight="false" outlineLevel="0" collapsed="false">
      <c r="A36" s="6" t="s">
        <v>1828</v>
      </c>
      <c r="B36" s="6" t="n">
        <v>3</v>
      </c>
      <c r="C36" s="6" t="s">
        <v>1832</v>
      </c>
      <c r="D36" s="6" t="s">
        <v>1159</v>
      </c>
      <c r="E36" s="6" t="s">
        <v>1160</v>
      </c>
      <c r="F36" s="6" t="s">
        <v>1830</v>
      </c>
    </row>
    <row r="37" customFormat="false" ht="15" hidden="false" customHeight="false" outlineLevel="0" collapsed="false">
      <c r="A37" s="6" t="s">
        <v>1828</v>
      </c>
      <c r="B37" s="6" t="n">
        <v>4</v>
      </c>
      <c r="C37" s="6" t="s">
        <v>127</v>
      </c>
      <c r="D37" s="6" t="s">
        <v>1235</v>
      </c>
      <c r="E37" s="6" t="s">
        <v>1236</v>
      </c>
      <c r="F37" s="6" t="s">
        <v>1830</v>
      </c>
    </row>
    <row r="38" customFormat="false" ht="15" hidden="false" customHeight="false" outlineLevel="0" collapsed="false">
      <c r="A38" s="6" t="s">
        <v>1828</v>
      </c>
      <c r="B38" s="6" t="n">
        <v>5</v>
      </c>
      <c r="C38" s="6" t="s">
        <v>1833</v>
      </c>
      <c r="D38" s="6" t="s">
        <v>1193</v>
      </c>
      <c r="E38" s="6" t="s">
        <v>1194</v>
      </c>
      <c r="F38" s="6" t="s">
        <v>1830</v>
      </c>
    </row>
    <row r="39" customFormat="false" ht="15" hidden="false" customHeight="false" outlineLevel="0" collapsed="false">
      <c r="A39" s="6" t="s">
        <v>1828</v>
      </c>
      <c r="B39" s="6" t="n">
        <v>6</v>
      </c>
      <c r="C39" s="6" t="s">
        <v>1834</v>
      </c>
      <c r="D39" s="6" t="s">
        <v>1204</v>
      </c>
      <c r="E39" s="6" t="s">
        <v>1205</v>
      </c>
      <c r="F39" s="6" t="s">
        <v>1830</v>
      </c>
    </row>
    <row r="40" customFormat="false" ht="15" hidden="false" customHeight="false" outlineLevel="0" collapsed="false">
      <c r="A40" s="6" t="s">
        <v>1828</v>
      </c>
      <c r="B40" s="6" t="n">
        <v>7</v>
      </c>
      <c r="C40" s="6" t="s">
        <v>1835</v>
      </c>
      <c r="D40" s="6" t="s">
        <v>1258</v>
      </c>
      <c r="E40" s="6" t="s">
        <v>1259</v>
      </c>
      <c r="F40" s="6" t="s">
        <v>1830</v>
      </c>
    </row>
    <row r="41" customFormat="false" ht="15" hidden="false" customHeight="false" outlineLevel="0" collapsed="false">
      <c r="A41" s="6" t="s">
        <v>1828</v>
      </c>
      <c r="B41" s="6" t="n">
        <v>8</v>
      </c>
      <c r="C41" s="6" t="s">
        <v>1836</v>
      </c>
      <c r="D41" s="6" t="s">
        <v>1281</v>
      </c>
      <c r="E41" s="6" t="s">
        <v>1282</v>
      </c>
      <c r="F41" s="6" t="s">
        <v>1830</v>
      </c>
    </row>
    <row r="42" customFormat="false" ht="15" hidden="false" customHeight="false" outlineLevel="0" collapsed="false">
      <c r="A42" s="6" t="s">
        <v>1828</v>
      </c>
      <c r="B42" s="6" t="n">
        <v>9</v>
      </c>
      <c r="C42" s="6" t="s">
        <v>1837</v>
      </c>
      <c r="D42" s="6" t="s">
        <v>1243</v>
      </c>
      <c r="E42" s="6" t="s">
        <v>1244</v>
      </c>
      <c r="F42" s="6" t="s">
        <v>1830</v>
      </c>
    </row>
    <row r="43" customFormat="false" ht="15" hidden="false" customHeight="false" outlineLevel="0" collapsed="false">
      <c r="A43" s="6" t="s">
        <v>1828</v>
      </c>
      <c r="B43" s="6" t="n">
        <v>10</v>
      </c>
      <c r="C43" s="6" t="s">
        <v>1838</v>
      </c>
      <c r="D43" s="6" t="s">
        <v>1273</v>
      </c>
      <c r="E43" s="6" t="s">
        <v>1274</v>
      </c>
      <c r="F43" s="6" t="s">
        <v>1830</v>
      </c>
    </row>
    <row r="44" customFormat="false" ht="15" hidden="false" customHeight="false" outlineLevel="0" collapsed="false">
      <c r="A44" s="6" t="s">
        <v>1828</v>
      </c>
      <c r="B44" s="6" t="n">
        <v>11</v>
      </c>
      <c r="C44" s="6" t="s">
        <v>1839</v>
      </c>
      <c r="D44" s="6" t="s">
        <v>765</v>
      </c>
      <c r="E44" s="6" t="s">
        <v>766</v>
      </c>
      <c r="F44" s="6" t="s">
        <v>1830</v>
      </c>
    </row>
    <row r="45" customFormat="false" ht="15" hidden="false" customHeight="false" outlineLevel="0" collapsed="false">
      <c r="A45" s="6" t="s">
        <v>1828</v>
      </c>
      <c r="B45" s="6" t="n">
        <v>12</v>
      </c>
      <c r="C45" s="6" t="s">
        <v>1840</v>
      </c>
      <c r="D45" s="6" t="s">
        <v>746</v>
      </c>
      <c r="E45" s="6" t="s">
        <v>747</v>
      </c>
      <c r="F45" s="6" t="s">
        <v>1830</v>
      </c>
    </row>
    <row r="46" customFormat="false" ht="15" hidden="false" customHeight="false" outlineLevel="0" collapsed="false">
      <c r="A46" s="6" t="s">
        <v>1841</v>
      </c>
      <c r="B46" s="6" t="n">
        <v>1</v>
      </c>
      <c r="C46" s="6" t="s">
        <v>1790</v>
      </c>
      <c r="D46" s="6" t="s">
        <v>369</v>
      </c>
      <c r="E46" s="6" t="s">
        <v>370</v>
      </c>
      <c r="F46" s="6" t="s">
        <v>1842</v>
      </c>
    </row>
    <row r="47" customFormat="false" ht="15" hidden="false" customHeight="false" outlineLevel="0" collapsed="false">
      <c r="A47" s="6" t="s">
        <v>1841</v>
      </c>
      <c r="B47" s="6" t="n">
        <v>2</v>
      </c>
      <c r="C47" s="6" t="s">
        <v>1843</v>
      </c>
      <c r="D47" s="6" t="s">
        <v>392</v>
      </c>
      <c r="E47" s="6" t="s">
        <v>604</v>
      </c>
      <c r="F47" s="6" t="s">
        <v>1842</v>
      </c>
    </row>
    <row r="48" customFormat="false" ht="15" hidden="false" customHeight="false" outlineLevel="0" collapsed="false">
      <c r="A48" s="6" t="s">
        <v>1841</v>
      </c>
      <c r="B48" s="6" t="n">
        <v>3</v>
      </c>
      <c r="C48" s="6" t="s">
        <v>1844</v>
      </c>
      <c r="D48" s="6" t="s">
        <v>382</v>
      </c>
      <c r="E48" s="6" t="s">
        <v>383</v>
      </c>
      <c r="F48" s="6" t="s">
        <v>1842</v>
      </c>
    </row>
    <row r="49" customFormat="false" ht="15" hidden="false" customHeight="false" outlineLevel="0" collapsed="false">
      <c r="A49" s="6" t="s">
        <v>1841</v>
      </c>
      <c r="B49" s="6" t="n">
        <v>4</v>
      </c>
      <c r="C49" s="6" t="s">
        <v>1845</v>
      </c>
      <c r="D49" s="6" t="s">
        <v>394</v>
      </c>
      <c r="E49" s="6" t="s">
        <v>395</v>
      </c>
      <c r="F49" s="6" t="s">
        <v>1842</v>
      </c>
    </row>
    <row r="50" customFormat="false" ht="15" hidden="false" customHeight="false" outlineLevel="0" collapsed="false">
      <c r="A50" s="6" t="s">
        <v>1841</v>
      </c>
      <c r="B50" s="6" t="n">
        <v>5</v>
      </c>
      <c r="C50" s="6" t="s">
        <v>1846</v>
      </c>
      <c r="D50" s="6" t="s">
        <v>400</v>
      </c>
      <c r="E50" s="6" t="s">
        <v>401</v>
      </c>
      <c r="F50" s="6" t="s">
        <v>1842</v>
      </c>
    </row>
    <row r="51" customFormat="false" ht="15" hidden="false" customHeight="false" outlineLevel="0" collapsed="false">
      <c r="A51" s="6" t="s">
        <v>1841</v>
      </c>
      <c r="B51" s="6" t="n">
        <v>6</v>
      </c>
      <c r="C51" s="6" t="s">
        <v>1847</v>
      </c>
      <c r="D51" s="6" t="s">
        <v>425</v>
      </c>
      <c r="E51" s="6" t="s">
        <v>426</v>
      </c>
      <c r="F51" s="6" t="s">
        <v>1842</v>
      </c>
    </row>
    <row r="52" customFormat="false" ht="15" hidden="false" customHeight="false" outlineLevel="0" collapsed="false">
      <c r="A52" s="6" t="s">
        <v>1841</v>
      </c>
      <c r="B52" s="6" t="n">
        <v>7</v>
      </c>
      <c r="C52" s="6" t="s">
        <v>1848</v>
      </c>
      <c r="D52" s="6" t="s">
        <v>415</v>
      </c>
      <c r="E52" s="6" t="s">
        <v>416</v>
      </c>
      <c r="F52" s="6" t="s">
        <v>1842</v>
      </c>
    </row>
    <row r="53" customFormat="false" ht="15" hidden="false" customHeight="false" outlineLevel="0" collapsed="false">
      <c r="A53" s="6" t="s">
        <v>1841</v>
      </c>
      <c r="B53" s="6" t="n">
        <v>8</v>
      </c>
      <c r="C53" s="6" t="s">
        <v>1849</v>
      </c>
      <c r="D53" s="6" t="s">
        <v>1220</v>
      </c>
      <c r="E53" s="6" t="s">
        <v>1221</v>
      </c>
      <c r="F53" s="6" t="s">
        <v>1842</v>
      </c>
    </row>
    <row r="54" customFormat="false" ht="15" hidden="false" customHeight="false" outlineLevel="0" collapsed="false">
      <c r="A54" s="6" t="s">
        <v>1841</v>
      </c>
      <c r="B54" s="6" t="n">
        <v>9</v>
      </c>
      <c r="C54" s="6" t="s">
        <v>1850</v>
      </c>
      <c r="D54" s="6" t="s">
        <v>1289</v>
      </c>
      <c r="E54" s="6" t="s">
        <v>1293</v>
      </c>
      <c r="F54" s="6" t="s">
        <v>1842</v>
      </c>
    </row>
    <row r="55" customFormat="false" ht="15" hidden="false" customHeight="false" outlineLevel="0" collapsed="false">
      <c r="A55" s="6" t="s">
        <v>1851</v>
      </c>
      <c r="B55" s="6" t="n">
        <v>1</v>
      </c>
      <c r="C55" s="6" t="s">
        <v>1790</v>
      </c>
      <c r="D55" s="6" t="s">
        <v>497</v>
      </c>
      <c r="E55" s="6" t="s">
        <v>498</v>
      </c>
      <c r="F55" s="6" t="s">
        <v>1852</v>
      </c>
    </row>
    <row r="56" customFormat="false" ht="15" hidden="false" customHeight="false" outlineLevel="0" collapsed="false">
      <c r="A56" s="6" t="s">
        <v>1851</v>
      </c>
      <c r="B56" s="6" t="n">
        <v>2</v>
      </c>
      <c r="C56" s="6" t="s">
        <v>1853</v>
      </c>
      <c r="D56" s="6" t="s">
        <v>519</v>
      </c>
      <c r="E56" s="6" t="s">
        <v>520</v>
      </c>
      <c r="F56" s="6" t="s">
        <v>1852</v>
      </c>
    </row>
    <row r="57" customFormat="false" ht="15" hidden="false" customHeight="false" outlineLevel="0" collapsed="false">
      <c r="A57" s="6" t="s">
        <v>1851</v>
      </c>
      <c r="B57" s="6" t="n">
        <v>3</v>
      </c>
      <c r="C57" s="6" t="s">
        <v>1854</v>
      </c>
      <c r="D57" s="6" t="s">
        <v>509</v>
      </c>
      <c r="E57" s="6" t="s">
        <v>510</v>
      </c>
      <c r="F57" s="6" t="s">
        <v>1852</v>
      </c>
    </row>
    <row r="58" customFormat="false" ht="15" hidden="false" customHeight="false" outlineLevel="0" collapsed="false">
      <c r="A58" s="6" t="s">
        <v>1851</v>
      </c>
      <c r="B58" s="6" t="n">
        <v>4</v>
      </c>
      <c r="C58" s="6" t="s">
        <v>1855</v>
      </c>
      <c r="D58" s="6" t="s">
        <v>530</v>
      </c>
      <c r="E58" s="6" t="s">
        <v>531</v>
      </c>
      <c r="F58" s="6" t="s">
        <v>1852</v>
      </c>
    </row>
    <row r="59" customFormat="false" ht="15" hidden="false" customHeight="false" outlineLevel="0" collapsed="false">
      <c r="A59" s="6" t="s">
        <v>1851</v>
      </c>
      <c r="B59" s="6" t="n">
        <v>5</v>
      </c>
      <c r="C59" s="6" t="s">
        <v>1856</v>
      </c>
      <c r="D59" s="6" t="s">
        <v>537</v>
      </c>
      <c r="E59" s="6" t="s">
        <v>538</v>
      </c>
      <c r="F59" s="6" t="s">
        <v>1852</v>
      </c>
    </row>
    <row r="60" customFormat="false" ht="15" hidden="false" customHeight="false" outlineLevel="0" collapsed="false">
      <c r="A60" s="6" t="s">
        <v>1851</v>
      </c>
      <c r="B60" s="6" t="n">
        <v>6</v>
      </c>
      <c r="C60" s="6" t="s">
        <v>1857</v>
      </c>
      <c r="D60" s="6" t="s">
        <v>812</v>
      </c>
      <c r="E60" s="6" t="s">
        <v>840</v>
      </c>
      <c r="F60" s="6" t="s">
        <v>1852</v>
      </c>
    </row>
    <row r="61" customFormat="false" ht="15" hidden="false" customHeight="false" outlineLevel="0" collapsed="false">
      <c r="A61" s="6" t="s">
        <v>1851</v>
      </c>
      <c r="B61" s="6" t="n">
        <v>7</v>
      </c>
      <c r="C61" s="6" t="s">
        <v>1858</v>
      </c>
      <c r="D61" s="6" t="s">
        <v>556</v>
      </c>
      <c r="E61" s="6" t="s">
        <v>557</v>
      </c>
      <c r="F61" s="6" t="s">
        <v>1852</v>
      </c>
    </row>
    <row r="62" customFormat="false" ht="15" hidden="false" customHeight="false" outlineLevel="0" collapsed="false">
      <c r="A62" s="6" t="s">
        <v>1859</v>
      </c>
      <c r="B62" s="6" t="n">
        <v>1</v>
      </c>
      <c r="C62" s="6" t="s">
        <v>1860</v>
      </c>
      <c r="D62" s="6" t="s">
        <v>257</v>
      </c>
      <c r="E62" s="6" t="s">
        <v>258</v>
      </c>
      <c r="F62" s="6" t="s">
        <v>1861</v>
      </c>
    </row>
    <row r="63" customFormat="false" ht="15" hidden="false" customHeight="false" outlineLevel="0" collapsed="false">
      <c r="A63" s="6" t="s">
        <v>1859</v>
      </c>
      <c r="B63" s="6" t="n">
        <v>2</v>
      </c>
      <c r="C63" s="6" t="s">
        <v>1862</v>
      </c>
      <c r="D63" s="6" t="s">
        <v>269</v>
      </c>
      <c r="E63" s="6" t="s">
        <v>270</v>
      </c>
      <c r="F63" s="6" t="s">
        <v>1861</v>
      </c>
    </row>
    <row r="64" customFormat="false" ht="15" hidden="false" customHeight="false" outlineLevel="0" collapsed="false">
      <c r="A64" s="6" t="s">
        <v>1859</v>
      </c>
      <c r="B64" s="6" t="n">
        <v>3</v>
      </c>
      <c r="C64" s="6" t="s">
        <v>1863</v>
      </c>
      <c r="D64" s="6" t="s">
        <v>308</v>
      </c>
      <c r="E64" s="6" t="s">
        <v>309</v>
      </c>
      <c r="F64" s="6" t="s">
        <v>1861</v>
      </c>
    </row>
    <row r="65" customFormat="false" ht="15" hidden="false" customHeight="false" outlineLevel="0" collapsed="false">
      <c r="A65" s="6" t="s">
        <v>1859</v>
      </c>
      <c r="B65" s="6" t="n">
        <v>4</v>
      </c>
      <c r="C65" s="6" t="s">
        <v>1864</v>
      </c>
      <c r="D65" s="6" t="s">
        <v>821</v>
      </c>
      <c r="E65" s="6" t="s">
        <v>831</v>
      </c>
      <c r="F65" s="6" t="s">
        <v>1861</v>
      </c>
    </row>
    <row r="66" customFormat="false" ht="15" hidden="false" customHeight="false" outlineLevel="0" collapsed="false">
      <c r="A66" s="6" t="s">
        <v>1859</v>
      </c>
      <c r="B66" s="6" t="n">
        <v>5</v>
      </c>
      <c r="C66" s="6" t="s">
        <v>1865</v>
      </c>
      <c r="D66" s="6" t="s">
        <v>883</v>
      </c>
      <c r="E66" s="6" t="s">
        <v>884</v>
      </c>
      <c r="F66" s="6" t="s">
        <v>1861</v>
      </c>
    </row>
    <row r="67" customFormat="false" ht="15" hidden="false" customHeight="false" outlineLevel="0" collapsed="false">
      <c r="A67" s="6" t="s">
        <v>1859</v>
      </c>
      <c r="B67" s="6" t="n">
        <v>6</v>
      </c>
      <c r="C67" s="6" t="s">
        <v>1866</v>
      </c>
      <c r="D67" s="6" t="s">
        <v>903</v>
      </c>
      <c r="E67" s="6" t="s">
        <v>904</v>
      </c>
      <c r="F67" s="6" t="s">
        <v>1861</v>
      </c>
    </row>
    <row r="68" customFormat="false" ht="15" hidden="false" customHeight="false" outlineLevel="0" collapsed="false">
      <c r="A68" s="6" t="s">
        <v>1859</v>
      </c>
      <c r="B68" s="6" t="n">
        <v>7</v>
      </c>
      <c r="C68" s="6" t="s">
        <v>1867</v>
      </c>
      <c r="D68" s="6" t="s">
        <v>279</v>
      </c>
      <c r="E68" s="6" t="s">
        <v>280</v>
      </c>
      <c r="F68" s="6" t="s">
        <v>1861</v>
      </c>
    </row>
    <row r="69" customFormat="false" ht="15" hidden="false" customHeight="false" outlineLevel="0" collapsed="false">
      <c r="A69" s="6" t="s">
        <v>1868</v>
      </c>
      <c r="B69" s="6" t="n">
        <v>1</v>
      </c>
      <c r="C69" s="6" t="s">
        <v>1869</v>
      </c>
      <c r="D69" s="6" t="s">
        <v>629</v>
      </c>
      <c r="E69" s="6" t="s">
        <v>630</v>
      </c>
      <c r="F69" s="6" t="s">
        <v>1870</v>
      </c>
    </row>
    <row r="70" customFormat="false" ht="15" hidden="false" customHeight="false" outlineLevel="0" collapsed="false">
      <c r="A70" s="6" t="s">
        <v>1868</v>
      </c>
      <c r="B70" s="6" t="n">
        <v>2</v>
      </c>
      <c r="C70" s="6" t="s">
        <v>1790</v>
      </c>
      <c r="D70" s="6" t="s">
        <v>638</v>
      </c>
      <c r="E70" s="6" t="s">
        <v>1298</v>
      </c>
      <c r="F70" s="6" t="s">
        <v>1870</v>
      </c>
    </row>
    <row r="71" customFormat="false" ht="15" hidden="false" customHeight="false" outlineLevel="0" collapsed="false">
      <c r="A71" s="6" t="s">
        <v>1868</v>
      </c>
      <c r="B71" s="6" t="n">
        <v>3</v>
      </c>
      <c r="C71" s="6" t="s">
        <v>1871</v>
      </c>
      <c r="D71" s="6" t="s">
        <v>945</v>
      </c>
      <c r="E71" s="6" t="s">
        <v>946</v>
      </c>
      <c r="F71" s="6" t="s">
        <v>1870</v>
      </c>
    </row>
    <row r="72" customFormat="false" ht="15" hidden="false" customHeight="false" outlineLevel="0" collapsed="false">
      <c r="A72" s="6" t="s">
        <v>1868</v>
      </c>
      <c r="B72" s="6" t="n">
        <v>4</v>
      </c>
      <c r="C72" s="6" t="s">
        <v>1872</v>
      </c>
      <c r="D72" s="6" t="s">
        <v>952</v>
      </c>
      <c r="E72" s="6" t="s">
        <v>956</v>
      </c>
      <c r="F72" s="6" t="s">
        <v>1870</v>
      </c>
    </row>
    <row r="73" customFormat="false" ht="15" hidden="false" customHeight="false" outlineLevel="0" collapsed="false">
      <c r="A73" s="6" t="s">
        <v>1868</v>
      </c>
      <c r="B73" s="6" t="n">
        <v>5</v>
      </c>
      <c r="C73" s="6" t="s">
        <v>1873</v>
      </c>
      <c r="D73" s="6" t="s">
        <v>961</v>
      </c>
      <c r="E73" s="6" t="s">
        <v>963</v>
      </c>
      <c r="F73" s="6" t="s">
        <v>1870</v>
      </c>
    </row>
    <row r="74" customFormat="false" ht="15" hidden="false" customHeight="false" outlineLevel="0" collapsed="false">
      <c r="A74" s="6" t="s">
        <v>1868</v>
      </c>
      <c r="B74" s="6" t="n">
        <v>6</v>
      </c>
      <c r="C74" s="6" t="s">
        <v>1874</v>
      </c>
      <c r="D74" s="6" t="s">
        <v>1309</v>
      </c>
      <c r="E74" s="6" t="s">
        <v>1310</v>
      </c>
      <c r="F74" s="6" t="s">
        <v>1870</v>
      </c>
    </row>
    <row r="75" customFormat="false" ht="15" hidden="false" customHeight="false" outlineLevel="0" collapsed="false">
      <c r="A75" s="6" t="s">
        <v>1868</v>
      </c>
      <c r="B75" s="6" t="n">
        <v>7</v>
      </c>
      <c r="C75" s="6" t="s">
        <v>1875</v>
      </c>
      <c r="D75" s="6" t="s">
        <v>1317</v>
      </c>
      <c r="E75" s="6" t="s">
        <v>1318</v>
      </c>
      <c r="F75" s="6" t="s">
        <v>1870</v>
      </c>
    </row>
    <row r="76" customFormat="false" ht="15" hidden="false" customHeight="false" outlineLevel="0" collapsed="false">
      <c r="A76" s="6" t="s">
        <v>1868</v>
      </c>
      <c r="B76" s="6" t="n">
        <v>8</v>
      </c>
      <c r="C76" s="6" t="s">
        <v>1876</v>
      </c>
      <c r="D76" s="6" t="s">
        <v>1327</v>
      </c>
      <c r="E76" s="6" t="s">
        <v>1328</v>
      </c>
      <c r="F76" s="6" t="s">
        <v>1870</v>
      </c>
    </row>
    <row r="77" customFormat="false" ht="15" hidden="false" customHeight="false" outlineLevel="0" collapsed="false">
      <c r="A77" s="6" t="s">
        <v>1868</v>
      </c>
      <c r="B77" s="6" t="n">
        <v>9</v>
      </c>
      <c r="C77" s="6" t="s">
        <v>1877</v>
      </c>
      <c r="D77" s="6" t="s">
        <v>753</v>
      </c>
      <c r="E77" s="6" t="s">
        <v>754</v>
      </c>
      <c r="F77" s="6" t="s">
        <v>1870</v>
      </c>
    </row>
    <row r="78" customFormat="false" ht="15" hidden="false" customHeight="false" outlineLevel="0" collapsed="false">
      <c r="A78" s="6" t="s">
        <v>1868</v>
      </c>
      <c r="B78" s="6" t="n">
        <v>10</v>
      </c>
      <c r="C78" s="6" t="s">
        <v>1878</v>
      </c>
      <c r="D78" s="6" t="s">
        <v>760</v>
      </c>
      <c r="E78" s="6" t="s">
        <v>1336</v>
      </c>
      <c r="F78" s="6" t="s">
        <v>1870</v>
      </c>
    </row>
    <row r="79" customFormat="false" ht="15" hidden="false" customHeight="false" outlineLevel="0" collapsed="false">
      <c r="A79" s="6" t="s">
        <v>1868</v>
      </c>
      <c r="B79" s="6" t="n">
        <v>11</v>
      </c>
      <c r="C79" s="6" t="s">
        <v>1879</v>
      </c>
      <c r="D79" s="6" t="s">
        <v>1347</v>
      </c>
      <c r="E79" s="6" t="s">
        <v>1348</v>
      </c>
      <c r="F79" s="6" t="s">
        <v>1870</v>
      </c>
    </row>
    <row r="80" customFormat="false" ht="15" hidden="false" customHeight="false" outlineLevel="0" collapsed="false">
      <c r="A80" s="6" t="s">
        <v>1880</v>
      </c>
      <c r="B80" s="6" t="n">
        <v>1</v>
      </c>
      <c r="C80" s="6" t="s">
        <v>1796</v>
      </c>
      <c r="D80" s="6" t="s">
        <v>454</v>
      </c>
      <c r="E80" s="6" t="s">
        <v>455</v>
      </c>
      <c r="F80" s="6" t="s">
        <v>1881</v>
      </c>
    </row>
    <row r="81" customFormat="false" ht="15" hidden="false" customHeight="false" outlineLevel="0" collapsed="false">
      <c r="A81" s="6" t="s">
        <v>1880</v>
      </c>
      <c r="B81" s="6" t="n">
        <v>2</v>
      </c>
      <c r="C81" s="6" t="s">
        <v>1882</v>
      </c>
      <c r="D81" s="6" t="s">
        <v>470</v>
      </c>
      <c r="E81" s="6" t="s">
        <v>471</v>
      </c>
      <c r="F81" s="6" t="s">
        <v>1881</v>
      </c>
    </row>
    <row r="82" customFormat="false" ht="15" hidden="false" customHeight="false" outlineLevel="0" collapsed="false">
      <c r="A82" s="6" t="s">
        <v>1880</v>
      </c>
      <c r="B82" s="6" t="n">
        <v>3</v>
      </c>
      <c r="C82" s="6" t="s">
        <v>1883</v>
      </c>
      <c r="D82" s="6" t="s">
        <v>484</v>
      </c>
      <c r="E82" s="6" t="s">
        <v>485</v>
      </c>
      <c r="F82" s="6" t="s">
        <v>1881</v>
      </c>
    </row>
    <row r="83" customFormat="false" ht="15" hidden="false" customHeight="false" outlineLevel="0" collapsed="false">
      <c r="A83" s="6" t="s">
        <v>1880</v>
      </c>
      <c r="B83" s="6" t="n">
        <v>4</v>
      </c>
      <c r="C83" s="6" t="s">
        <v>1884</v>
      </c>
      <c r="D83" s="6" t="s">
        <v>492</v>
      </c>
      <c r="E83" s="6" t="s">
        <v>493</v>
      </c>
      <c r="F83" s="6" t="s">
        <v>1881</v>
      </c>
    </row>
    <row r="84" customFormat="false" ht="23.85" hidden="false" customHeight="false" outlineLevel="0" collapsed="false">
      <c r="A84" s="6" t="s">
        <v>1880</v>
      </c>
      <c r="B84" s="6" t="n">
        <v>5</v>
      </c>
      <c r="C84" s="6" t="s">
        <v>1885</v>
      </c>
      <c r="D84" s="6" t="s">
        <v>737</v>
      </c>
      <c r="E84" s="6" t="s">
        <v>738</v>
      </c>
      <c r="F84" s="6" t="s">
        <v>1881</v>
      </c>
    </row>
    <row r="85" customFormat="false" ht="15" hidden="false" customHeight="false" outlineLevel="0" collapsed="false">
      <c r="A85" s="6" t="s">
        <v>1880</v>
      </c>
      <c r="B85" s="6" t="n">
        <v>6</v>
      </c>
      <c r="C85" s="6" t="s">
        <v>1840</v>
      </c>
      <c r="D85" s="6" t="s">
        <v>746</v>
      </c>
      <c r="E85" s="6" t="s">
        <v>747</v>
      </c>
      <c r="F85" s="6" t="s">
        <v>1881</v>
      </c>
    </row>
    <row r="86" customFormat="false" ht="15" hidden="false" customHeight="false" outlineLevel="0" collapsed="false">
      <c r="A86" s="6" t="s">
        <v>1880</v>
      </c>
      <c r="B86" s="6" t="n">
        <v>7</v>
      </c>
      <c r="C86" s="6" t="s">
        <v>1886</v>
      </c>
      <c r="D86" s="6" t="s">
        <v>220</v>
      </c>
      <c r="E86" s="6" t="s">
        <v>436</v>
      </c>
      <c r="F86" s="6" t="s">
        <v>1881</v>
      </c>
    </row>
    <row r="87" customFormat="false" ht="15" hidden="false" customHeight="false" outlineLevel="0" collapsed="false">
      <c r="A87" s="6" t="s">
        <v>1880</v>
      </c>
      <c r="B87" s="6" t="n">
        <v>8</v>
      </c>
      <c r="C87" s="6" t="s">
        <v>1887</v>
      </c>
      <c r="D87" s="6" t="s">
        <v>443</v>
      </c>
      <c r="E87" s="6" t="s">
        <v>446</v>
      </c>
      <c r="F87" s="6" t="s">
        <v>1881</v>
      </c>
    </row>
    <row r="88" customFormat="false" ht="15" hidden="false" customHeight="false" outlineLevel="0" collapsed="false">
      <c r="A88" s="6" t="s">
        <v>1888</v>
      </c>
      <c r="B88" s="6" t="n">
        <v>1</v>
      </c>
      <c r="C88" s="6" t="s">
        <v>1889</v>
      </c>
      <c r="D88" s="6" t="s">
        <v>265</v>
      </c>
      <c r="E88" s="6" t="s">
        <v>288</v>
      </c>
      <c r="F88" s="6" t="s">
        <v>1890</v>
      </c>
    </row>
    <row r="89" customFormat="false" ht="15" hidden="false" customHeight="false" outlineLevel="0" collapsed="false">
      <c r="A89" s="6" t="s">
        <v>1888</v>
      </c>
      <c r="B89" s="6" t="n">
        <v>2</v>
      </c>
      <c r="C89" s="6" t="s">
        <v>1891</v>
      </c>
      <c r="D89" s="6" t="s">
        <v>298</v>
      </c>
      <c r="E89" s="6" t="s">
        <v>299</v>
      </c>
      <c r="F89" s="6" t="s">
        <v>1890</v>
      </c>
    </row>
    <row r="90" customFormat="false" ht="15" hidden="false" customHeight="false" outlineLevel="0" collapsed="false">
      <c r="A90" s="6" t="s">
        <v>1888</v>
      </c>
      <c r="B90" s="6" t="n">
        <v>3</v>
      </c>
      <c r="C90" s="6" t="s">
        <v>1892</v>
      </c>
      <c r="D90" s="6" t="s">
        <v>327</v>
      </c>
      <c r="E90" s="6" t="s">
        <v>328</v>
      </c>
      <c r="F90" s="6" t="s">
        <v>1890</v>
      </c>
    </row>
    <row r="91" customFormat="false" ht="15" hidden="false" customHeight="false" outlineLevel="0" collapsed="false">
      <c r="A91" s="6" t="s">
        <v>1888</v>
      </c>
      <c r="B91" s="6" t="n">
        <v>4</v>
      </c>
      <c r="C91" s="6" t="s">
        <v>1893</v>
      </c>
      <c r="D91" s="6" t="s">
        <v>336</v>
      </c>
      <c r="E91" s="6" t="s">
        <v>337</v>
      </c>
      <c r="F91" s="6" t="s">
        <v>1890</v>
      </c>
    </row>
    <row r="92" customFormat="false" ht="15" hidden="false" customHeight="false" outlineLevel="0" collapsed="false">
      <c r="A92" s="6" t="s">
        <v>1888</v>
      </c>
      <c r="B92" s="6" t="n">
        <v>5</v>
      </c>
      <c r="C92" s="6" t="s">
        <v>1894</v>
      </c>
      <c r="D92" s="6" t="s">
        <v>342</v>
      </c>
      <c r="E92" s="6" t="s">
        <v>343</v>
      </c>
      <c r="F92" s="6" t="s">
        <v>1890</v>
      </c>
    </row>
  </sheetData>
  <autoFilter ref="A1:F9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30"/>
    <col collapsed="false" customWidth="true" hidden="false" outlineLevel="0" max="5" min="4" style="0" width="55"/>
    <col collapsed="false" customWidth="true" hidden="false" outlineLevel="0" max="6" min="6" style="0" width="10"/>
    <col collapsed="false" customWidth="true" hidden="false" outlineLevel="0" max="8" min="7" style="0" width="26"/>
    <col collapsed="false" customWidth="true" hidden="false" outlineLevel="0" max="10" min="9" style="0" width="30"/>
  </cols>
  <sheetData>
    <row r="1" customFormat="false" ht="35.05" hidden="false" customHeight="false" outlineLevel="0" collapsed="false">
      <c r="A1" s="5" t="s">
        <v>1895</v>
      </c>
      <c r="B1" s="5" t="s">
        <v>62</v>
      </c>
      <c r="C1" s="5" t="s">
        <v>63</v>
      </c>
      <c r="D1" s="5" t="s">
        <v>1896</v>
      </c>
      <c r="E1" s="5" t="s">
        <v>1897</v>
      </c>
      <c r="F1" s="5" t="s">
        <v>1898</v>
      </c>
      <c r="G1" s="5" t="s">
        <v>1899</v>
      </c>
      <c r="H1" s="5" t="s">
        <v>1900</v>
      </c>
      <c r="I1" s="5" t="s">
        <v>1901</v>
      </c>
      <c r="J1" s="5" t="s">
        <v>1902</v>
      </c>
    </row>
    <row r="2" customFormat="false" ht="23.85" hidden="false" customHeight="false" outlineLevel="0" collapsed="false">
      <c r="A2" s="6" t="s">
        <v>1903</v>
      </c>
      <c r="B2" s="6" t="s">
        <v>14</v>
      </c>
      <c r="C2" s="6" t="s">
        <v>1904</v>
      </c>
      <c r="D2" s="6" t="s">
        <v>1905</v>
      </c>
      <c r="E2" s="6" t="s">
        <v>1906</v>
      </c>
      <c r="F2" s="6" t="n">
        <v>3</v>
      </c>
      <c r="G2" s="6" t="s">
        <v>1907</v>
      </c>
      <c r="H2" s="6"/>
      <c r="I2" s="6"/>
      <c r="J2" s="6" t="s">
        <v>124</v>
      </c>
    </row>
    <row r="3" customFormat="false" ht="23.85" hidden="false" customHeight="false" outlineLevel="0" collapsed="false">
      <c r="A3" s="6" t="s">
        <v>157</v>
      </c>
      <c r="B3" s="6" t="s">
        <v>14</v>
      </c>
      <c r="C3" s="6" t="s">
        <v>1904</v>
      </c>
      <c r="D3" s="6" t="s">
        <v>1908</v>
      </c>
      <c r="E3" s="6" t="s">
        <v>1909</v>
      </c>
      <c r="F3" s="6" t="n">
        <v>2</v>
      </c>
      <c r="G3" s="6"/>
      <c r="H3" s="6"/>
      <c r="I3" s="6"/>
      <c r="J3" s="6" t="s">
        <v>1529</v>
      </c>
    </row>
    <row r="4" customFormat="false" ht="35.05" hidden="false" customHeight="false" outlineLevel="0" collapsed="false">
      <c r="A4" s="6" t="s">
        <v>143</v>
      </c>
      <c r="B4" s="6" t="s">
        <v>14</v>
      </c>
      <c r="C4" s="6" t="s">
        <v>1904</v>
      </c>
      <c r="D4" s="6" t="s">
        <v>1910</v>
      </c>
      <c r="E4" s="6" t="s">
        <v>1911</v>
      </c>
      <c r="F4" s="6" t="n">
        <v>10</v>
      </c>
      <c r="G4" s="6" t="s">
        <v>1912</v>
      </c>
      <c r="H4" s="6"/>
      <c r="I4" s="6" t="s">
        <v>1913</v>
      </c>
      <c r="J4" s="6" t="s">
        <v>1914</v>
      </c>
    </row>
    <row r="5" customFormat="false" ht="23.85" hidden="false" customHeight="false" outlineLevel="0" collapsed="false">
      <c r="A5" s="6" t="s">
        <v>1915</v>
      </c>
      <c r="B5" s="6" t="s">
        <v>14</v>
      </c>
      <c r="C5" s="6" t="s">
        <v>1904</v>
      </c>
      <c r="D5" s="6" t="s">
        <v>1916</v>
      </c>
      <c r="E5" s="6" t="s">
        <v>1917</v>
      </c>
      <c r="F5" s="6" t="n">
        <v>3</v>
      </c>
      <c r="G5" s="6" t="s">
        <v>638</v>
      </c>
      <c r="H5" s="6"/>
      <c r="I5" s="6"/>
      <c r="J5" s="6" t="s">
        <v>1918</v>
      </c>
    </row>
    <row r="6" customFormat="false" ht="23.85" hidden="false" customHeight="false" outlineLevel="0" collapsed="false">
      <c r="A6" s="6" t="s">
        <v>1919</v>
      </c>
      <c r="B6" s="6" t="s">
        <v>14</v>
      </c>
      <c r="C6" s="6" t="s">
        <v>1904</v>
      </c>
      <c r="D6" s="6" t="s">
        <v>1920</v>
      </c>
      <c r="E6" s="6" t="s">
        <v>1921</v>
      </c>
      <c r="F6" s="6" t="n">
        <v>2</v>
      </c>
      <c r="G6" s="6"/>
      <c r="H6" s="6"/>
      <c r="I6" s="6"/>
      <c r="J6" s="6" t="s">
        <v>1918</v>
      </c>
    </row>
    <row r="7" customFormat="false" ht="23.85" hidden="false" customHeight="false" outlineLevel="0" collapsed="false">
      <c r="A7" s="6" t="s">
        <v>1922</v>
      </c>
      <c r="B7" s="6" t="s">
        <v>14</v>
      </c>
      <c r="C7" s="6" t="s">
        <v>1923</v>
      </c>
      <c r="D7" s="6" t="s">
        <v>1924</v>
      </c>
      <c r="E7" s="6" t="s">
        <v>1925</v>
      </c>
      <c r="F7" s="6" t="n">
        <v>3</v>
      </c>
      <c r="G7" s="6" t="s">
        <v>1926</v>
      </c>
      <c r="H7" s="6"/>
      <c r="I7" s="6"/>
      <c r="J7" s="6"/>
    </row>
    <row r="8" customFormat="false" ht="23.85" hidden="false" customHeight="false" outlineLevel="0" collapsed="false">
      <c r="A8" s="6" t="s">
        <v>1927</v>
      </c>
      <c r="B8" s="6" t="s">
        <v>14</v>
      </c>
      <c r="C8" s="6" t="s">
        <v>1923</v>
      </c>
      <c r="D8" s="6" t="s">
        <v>1928</v>
      </c>
      <c r="E8" s="6" t="s">
        <v>1929</v>
      </c>
      <c r="F8" s="6" t="n">
        <v>1</v>
      </c>
      <c r="G8" s="6" t="s">
        <v>162</v>
      </c>
      <c r="H8" s="6"/>
      <c r="I8" s="6"/>
      <c r="J8" s="6"/>
    </row>
    <row r="9" customFormat="false" ht="23.85" hidden="false" customHeight="false" outlineLevel="0" collapsed="false">
      <c r="A9" s="6" t="s">
        <v>1930</v>
      </c>
      <c r="B9" s="6" t="s">
        <v>14</v>
      </c>
      <c r="C9" s="6" t="s">
        <v>1923</v>
      </c>
      <c r="D9" s="6" t="s">
        <v>1931</v>
      </c>
      <c r="E9" s="6" t="s">
        <v>1932</v>
      </c>
      <c r="F9" s="6" t="n">
        <v>2</v>
      </c>
      <c r="G9" s="6" t="s">
        <v>1933</v>
      </c>
      <c r="H9" s="6"/>
      <c r="I9" s="6"/>
      <c r="J9" s="6"/>
    </row>
    <row r="10" customFormat="false" ht="23.85" hidden="false" customHeight="false" outlineLevel="0" collapsed="false">
      <c r="A10" s="6" t="s">
        <v>1934</v>
      </c>
      <c r="B10" s="6" t="s">
        <v>14</v>
      </c>
      <c r="C10" s="6" t="s">
        <v>1923</v>
      </c>
      <c r="D10" s="6" t="s">
        <v>1935</v>
      </c>
      <c r="E10" s="6" t="s">
        <v>1936</v>
      </c>
      <c r="F10" s="6" t="n">
        <v>2</v>
      </c>
      <c r="G10" s="6" t="s">
        <v>172</v>
      </c>
      <c r="H10" s="6"/>
      <c r="I10" s="6"/>
      <c r="J10" s="6" t="s">
        <v>201</v>
      </c>
    </row>
    <row r="11" customFormat="false" ht="23.85" hidden="false" customHeight="false" outlineLevel="0" collapsed="false">
      <c r="A11" s="6" t="s">
        <v>1937</v>
      </c>
      <c r="B11" s="6" t="s">
        <v>14</v>
      </c>
      <c r="C11" s="6" t="s">
        <v>1923</v>
      </c>
      <c r="D11" s="6" t="s">
        <v>1938</v>
      </c>
      <c r="E11" s="6" t="s">
        <v>1939</v>
      </c>
      <c r="F11" s="6" t="n">
        <v>1</v>
      </c>
      <c r="G11" s="6" t="s">
        <v>172</v>
      </c>
      <c r="H11" s="6"/>
      <c r="I11" s="6"/>
      <c r="J11" s="6"/>
    </row>
    <row r="12" customFormat="false" ht="23.85" hidden="false" customHeight="false" outlineLevel="0" collapsed="false">
      <c r="A12" s="6" t="s">
        <v>1940</v>
      </c>
      <c r="B12" s="6" t="s">
        <v>14</v>
      </c>
      <c r="C12" s="6" t="s">
        <v>1923</v>
      </c>
      <c r="D12" s="6" t="s">
        <v>1941</v>
      </c>
      <c r="E12" s="6" t="s">
        <v>1942</v>
      </c>
      <c r="F12" s="6" t="n">
        <v>3</v>
      </c>
      <c r="G12" s="6"/>
      <c r="H12" s="6"/>
      <c r="I12" s="6" t="s">
        <v>186</v>
      </c>
      <c r="J12" s="6" t="s">
        <v>1943</v>
      </c>
    </row>
    <row r="13" customFormat="false" ht="23.85" hidden="false" customHeight="false" outlineLevel="0" collapsed="false">
      <c r="A13" s="6" t="s">
        <v>1944</v>
      </c>
      <c r="B13" s="6" t="s">
        <v>14</v>
      </c>
      <c r="C13" s="6" t="s">
        <v>1923</v>
      </c>
      <c r="D13" s="6" t="s">
        <v>1945</v>
      </c>
      <c r="E13" s="6" t="s">
        <v>1946</v>
      </c>
      <c r="F13" s="6" t="n">
        <v>1</v>
      </c>
      <c r="G13" s="6" t="s">
        <v>172</v>
      </c>
      <c r="H13" s="6"/>
      <c r="I13" s="6"/>
      <c r="J13" s="6"/>
    </row>
    <row r="14" customFormat="false" ht="23.85" hidden="false" customHeight="false" outlineLevel="0" collapsed="false">
      <c r="A14" s="6" t="s">
        <v>1947</v>
      </c>
      <c r="B14" s="6" t="s">
        <v>14</v>
      </c>
      <c r="C14" s="6" t="s">
        <v>1948</v>
      </c>
      <c r="D14" s="6" t="s">
        <v>1949</v>
      </c>
      <c r="E14" s="6" t="s">
        <v>1950</v>
      </c>
      <c r="F14" s="6" t="n">
        <v>3</v>
      </c>
      <c r="G14" s="6" t="s">
        <v>1951</v>
      </c>
      <c r="H14" s="6"/>
      <c r="I14" s="6"/>
      <c r="J14" s="6" t="s">
        <v>223</v>
      </c>
    </row>
    <row r="15" customFormat="false" ht="23.85" hidden="false" customHeight="false" outlineLevel="0" collapsed="false">
      <c r="A15" s="6" t="s">
        <v>1952</v>
      </c>
      <c r="B15" s="6" t="s">
        <v>14</v>
      </c>
      <c r="C15" s="6" t="s">
        <v>1948</v>
      </c>
      <c r="D15" s="6" t="s">
        <v>1953</v>
      </c>
      <c r="E15" s="6" t="s">
        <v>1954</v>
      </c>
      <c r="F15" s="6" t="n">
        <v>2</v>
      </c>
      <c r="G15" s="6"/>
      <c r="H15" s="6"/>
      <c r="I15" s="6"/>
      <c r="J15" s="6" t="s">
        <v>1955</v>
      </c>
    </row>
    <row r="16" customFormat="false" ht="23.85" hidden="false" customHeight="false" outlineLevel="0" collapsed="false">
      <c r="A16" s="6" t="s">
        <v>250</v>
      </c>
      <c r="B16" s="6" t="s">
        <v>14</v>
      </c>
      <c r="C16" s="6" t="s">
        <v>1948</v>
      </c>
      <c r="D16" s="6" t="s">
        <v>1956</v>
      </c>
      <c r="E16" s="6" t="s">
        <v>1957</v>
      </c>
      <c r="F16" s="6" t="n">
        <v>1</v>
      </c>
      <c r="G16" s="6"/>
      <c r="H16" s="6"/>
      <c r="I16" s="6" t="s">
        <v>245</v>
      </c>
      <c r="J16" s="6"/>
    </row>
    <row r="17" customFormat="false" ht="23.85" hidden="false" customHeight="false" outlineLevel="0" collapsed="false">
      <c r="A17" s="6" t="s">
        <v>1958</v>
      </c>
      <c r="B17" s="6" t="s">
        <v>14</v>
      </c>
      <c r="C17" s="6" t="s">
        <v>1948</v>
      </c>
      <c r="D17" s="6" t="s">
        <v>1959</v>
      </c>
      <c r="E17" s="6" t="s">
        <v>1960</v>
      </c>
      <c r="F17" s="6" t="n">
        <v>5</v>
      </c>
      <c r="G17" s="6"/>
      <c r="H17" s="6" t="s">
        <v>257</v>
      </c>
      <c r="I17" s="6"/>
      <c r="J17" s="6" t="s">
        <v>1961</v>
      </c>
    </row>
    <row r="18" customFormat="false" ht="23.85" hidden="false" customHeight="false" outlineLevel="0" collapsed="false">
      <c r="A18" s="6" t="s">
        <v>1962</v>
      </c>
      <c r="B18" s="6" t="s">
        <v>14</v>
      </c>
      <c r="C18" s="6" t="s">
        <v>179</v>
      </c>
      <c r="D18" s="6" t="s">
        <v>1963</v>
      </c>
      <c r="E18" s="6" t="s">
        <v>1964</v>
      </c>
      <c r="F18" s="6" t="n">
        <v>6</v>
      </c>
      <c r="G18" s="6" t="s">
        <v>1965</v>
      </c>
      <c r="H18" s="6"/>
      <c r="I18" s="6"/>
      <c r="J18" s="6" t="s">
        <v>1966</v>
      </c>
    </row>
    <row r="19" customFormat="false" ht="23.85" hidden="false" customHeight="false" outlineLevel="0" collapsed="false">
      <c r="A19" s="6" t="s">
        <v>302</v>
      </c>
      <c r="B19" s="6" t="s">
        <v>14</v>
      </c>
      <c r="C19" s="6" t="s">
        <v>179</v>
      </c>
      <c r="D19" s="6" t="s">
        <v>1967</v>
      </c>
      <c r="E19" s="6" t="s">
        <v>1968</v>
      </c>
      <c r="F19" s="6" t="n">
        <v>3</v>
      </c>
      <c r="G19" s="6" t="s">
        <v>265</v>
      </c>
      <c r="H19" s="6"/>
      <c r="I19" s="6" t="s">
        <v>1969</v>
      </c>
      <c r="J19" s="6"/>
    </row>
    <row r="20" customFormat="false" ht="23.85" hidden="false" customHeight="false" outlineLevel="0" collapsed="false">
      <c r="A20" s="6" t="s">
        <v>1970</v>
      </c>
      <c r="B20" s="6" t="s">
        <v>14</v>
      </c>
      <c r="C20" s="6" t="s">
        <v>1971</v>
      </c>
      <c r="D20" s="6" t="s">
        <v>1972</v>
      </c>
      <c r="E20" s="6" t="s">
        <v>1973</v>
      </c>
      <c r="F20" s="6" t="n">
        <v>6</v>
      </c>
      <c r="G20" s="6" t="s">
        <v>1974</v>
      </c>
      <c r="H20" s="6"/>
      <c r="I20" s="6" t="s">
        <v>220</v>
      </c>
      <c r="J20" s="6" t="s">
        <v>1975</v>
      </c>
    </row>
    <row r="21" customFormat="false" ht="23.85" hidden="false" customHeight="false" outlineLevel="0" collapsed="false">
      <c r="A21" s="6" t="s">
        <v>488</v>
      </c>
      <c r="B21" s="6" t="s">
        <v>14</v>
      </c>
      <c r="C21" s="6" t="s">
        <v>1971</v>
      </c>
      <c r="D21" s="6" t="s">
        <v>1976</v>
      </c>
      <c r="E21" s="6" t="s">
        <v>1977</v>
      </c>
      <c r="F21" s="6" t="n">
        <v>7</v>
      </c>
      <c r="G21" s="6" t="s">
        <v>212</v>
      </c>
      <c r="H21" s="6"/>
      <c r="I21" s="6" t="s">
        <v>1978</v>
      </c>
      <c r="J21" s="6" t="s">
        <v>1979</v>
      </c>
    </row>
    <row r="22" customFormat="false" ht="23.85" hidden="false" customHeight="false" outlineLevel="0" collapsed="false">
      <c r="A22" s="6" t="s">
        <v>1980</v>
      </c>
      <c r="B22" s="6" t="s">
        <v>14</v>
      </c>
      <c r="C22" s="6" t="s">
        <v>1971</v>
      </c>
      <c r="D22" s="6" t="s">
        <v>1981</v>
      </c>
      <c r="E22" s="6" t="s">
        <v>1982</v>
      </c>
      <c r="F22" s="6" t="n">
        <v>3</v>
      </c>
      <c r="G22" s="6"/>
      <c r="H22" s="6"/>
      <c r="I22" s="6" t="s">
        <v>220</v>
      </c>
      <c r="J22" s="6" t="s">
        <v>1983</v>
      </c>
    </row>
    <row r="23" customFormat="false" ht="23.85" hidden="false" customHeight="false" outlineLevel="0" collapsed="false">
      <c r="A23" s="6" t="s">
        <v>1984</v>
      </c>
      <c r="B23" s="6" t="s">
        <v>14</v>
      </c>
      <c r="C23" s="6" t="s">
        <v>1985</v>
      </c>
      <c r="D23" s="6" t="s">
        <v>1986</v>
      </c>
      <c r="E23" s="6" t="s">
        <v>1987</v>
      </c>
      <c r="F23" s="6" t="n">
        <v>1</v>
      </c>
      <c r="G23" s="6" t="s">
        <v>497</v>
      </c>
      <c r="H23" s="6"/>
      <c r="I23" s="6"/>
      <c r="J23" s="6"/>
    </row>
    <row r="24" customFormat="false" ht="23.85" hidden="false" customHeight="false" outlineLevel="0" collapsed="false">
      <c r="A24" s="6" t="s">
        <v>1988</v>
      </c>
      <c r="B24" s="6" t="s">
        <v>14</v>
      </c>
      <c r="C24" s="6" t="s">
        <v>1985</v>
      </c>
      <c r="D24" s="6" t="s">
        <v>1989</v>
      </c>
      <c r="E24" s="6" t="s">
        <v>1990</v>
      </c>
      <c r="F24" s="6" t="n">
        <v>1</v>
      </c>
      <c r="G24" s="6" t="s">
        <v>497</v>
      </c>
      <c r="H24" s="6"/>
      <c r="I24" s="6"/>
      <c r="J24" s="6"/>
    </row>
    <row r="25" customFormat="false" ht="23.85" hidden="false" customHeight="false" outlineLevel="0" collapsed="false">
      <c r="A25" s="6" t="s">
        <v>1991</v>
      </c>
      <c r="B25" s="6" t="s">
        <v>14</v>
      </c>
      <c r="C25" s="6" t="s">
        <v>1985</v>
      </c>
      <c r="D25" s="6" t="s">
        <v>1992</v>
      </c>
      <c r="E25" s="6" t="s">
        <v>1993</v>
      </c>
      <c r="F25" s="6" t="n">
        <v>2</v>
      </c>
      <c r="G25" s="6" t="s">
        <v>1994</v>
      </c>
      <c r="H25" s="6"/>
      <c r="I25" s="6"/>
      <c r="J25" s="6"/>
    </row>
    <row r="26" customFormat="false" ht="23.85" hidden="false" customHeight="false" outlineLevel="0" collapsed="false">
      <c r="A26" s="6" t="s">
        <v>1995</v>
      </c>
      <c r="B26" s="6" t="s">
        <v>14</v>
      </c>
      <c r="C26" s="6" t="s">
        <v>1985</v>
      </c>
      <c r="D26" s="6" t="s">
        <v>1996</v>
      </c>
      <c r="E26" s="6" t="s">
        <v>1997</v>
      </c>
      <c r="F26" s="6" t="n">
        <v>2</v>
      </c>
      <c r="G26" s="6"/>
      <c r="H26" s="6"/>
      <c r="I26" s="6" t="s">
        <v>509</v>
      </c>
      <c r="J26" s="6" t="s">
        <v>519</v>
      </c>
    </row>
    <row r="27" customFormat="false" ht="23.85" hidden="false" customHeight="false" outlineLevel="0" collapsed="false">
      <c r="A27" s="6" t="s">
        <v>1998</v>
      </c>
      <c r="B27" s="6" t="s">
        <v>14</v>
      </c>
      <c r="C27" s="6" t="s">
        <v>1985</v>
      </c>
      <c r="D27" s="6" t="s">
        <v>1999</v>
      </c>
      <c r="E27" s="6" t="s">
        <v>2000</v>
      </c>
      <c r="F27" s="6" t="n">
        <v>5</v>
      </c>
      <c r="G27" s="6"/>
      <c r="H27" s="6" t="s">
        <v>2001</v>
      </c>
      <c r="I27" s="6" t="s">
        <v>1139</v>
      </c>
      <c r="J27" s="6" t="s">
        <v>2002</v>
      </c>
    </row>
    <row r="28" customFormat="false" ht="23.85" hidden="false" customHeight="false" outlineLevel="0" collapsed="false">
      <c r="A28" s="6" t="s">
        <v>2003</v>
      </c>
      <c r="B28" s="6" t="s">
        <v>14</v>
      </c>
      <c r="C28" s="6" t="s">
        <v>1985</v>
      </c>
      <c r="D28" s="6" t="s">
        <v>2004</v>
      </c>
      <c r="E28" s="6" t="s">
        <v>2005</v>
      </c>
      <c r="F28" s="6" t="n">
        <v>2</v>
      </c>
      <c r="G28" s="6"/>
      <c r="H28" s="6"/>
      <c r="I28" s="6" t="s">
        <v>509</v>
      </c>
      <c r="J28" s="6" t="s">
        <v>530</v>
      </c>
    </row>
    <row r="29" customFormat="false" ht="23.85" hidden="false" customHeight="false" outlineLevel="0" collapsed="false">
      <c r="A29" s="6" t="s">
        <v>2006</v>
      </c>
      <c r="B29" s="6" t="s">
        <v>14</v>
      </c>
      <c r="C29" s="6" t="s">
        <v>1985</v>
      </c>
      <c r="D29" s="6" t="s">
        <v>2007</v>
      </c>
      <c r="E29" s="6" t="s">
        <v>2008</v>
      </c>
      <c r="F29" s="6" t="n">
        <v>3</v>
      </c>
      <c r="G29" s="6"/>
      <c r="H29" s="6"/>
      <c r="I29" s="6" t="s">
        <v>509</v>
      </c>
      <c r="J29" s="6" t="s">
        <v>2009</v>
      </c>
    </row>
    <row r="30" customFormat="false" ht="23.85" hidden="false" customHeight="false" outlineLevel="0" collapsed="false">
      <c r="A30" s="6" t="s">
        <v>2010</v>
      </c>
      <c r="B30" s="6" t="s">
        <v>14</v>
      </c>
      <c r="C30" s="6" t="s">
        <v>1985</v>
      </c>
      <c r="D30" s="6" t="s">
        <v>2011</v>
      </c>
      <c r="E30" s="6" t="s">
        <v>2012</v>
      </c>
      <c r="F30" s="6" t="n">
        <v>3</v>
      </c>
      <c r="G30" s="6"/>
      <c r="H30" s="6" t="s">
        <v>537</v>
      </c>
      <c r="I30" s="6" t="s">
        <v>1164</v>
      </c>
      <c r="J30" s="6" t="s">
        <v>1191</v>
      </c>
    </row>
    <row r="31" customFormat="false" ht="23.85" hidden="false" customHeight="false" outlineLevel="0" collapsed="false">
      <c r="A31" s="6" t="s">
        <v>2013</v>
      </c>
      <c r="B31" s="6" t="s">
        <v>14</v>
      </c>
      <c r="C31" s="6" t="s">
        <v>1985</v>
      </c>
      <c r="D31" s="6" t="s">
        <v>2014</v>
      </c>
      <c r="E31" s="6" t="s">
        <v>2015</v>
      </c>
      <c r="F31" s="6" t="n">
        <v>1</v>
      </c>
      <c r="G31" s="6"/>
      <c r="H31" s="6" t="s">
        <v>547</v>
      </c>
      <c r="I31" s="6"/>
      <c r="J31" s="6"/>
    </row>
    <row r="32" customFormat="false" ht="23.85" hidden="false" customHeight="false" outlineLevel="0" collapsed="false">
      <c r="A32" s="6" t="s">
        <v>560</v>
      </c>
      <c r="B32" s="6" t="s">
        <v>14</v>
      </c>
      <c r="C32" s="6" t="s">
        <v>1985</v>
      </c>
      <c r="D32" s="6" t="s">
        <v>2016</v>
      </c>
      <c r="E32" s="6" t="s">
        <v>2017</v>
      </c>
      <c r="F32" s="6" t="n">
        <v>2</v>
      </c>
      <c r="G32" s="6"/>
      <c r="H32" s="6"/>
      <c r="I32" s="6" t="s">
        <v>509</v>
      </c>
      <c r="J32" s="6" t="s">
        <v>556</v>
      </c>
    </row>
    <row r="33" customFormat="false" ht="23.85" hidden="false" customHeight="false" outlineLevel="0" collapsed="false">
      <c r="A33" s="6" t="s">
        <v>2018</v>
      </c>
      <c r="B33" s="6" t="s">
        <v>15</v>
      </c>
      <c r="C33" s="6" t="s">
        <v>2019</v>
      </c>
      <c r="D33" s="6" t="s">
        <v>2020</v>
      </c>
      <c r="E33" s="6" t="s">
        <v>2021</v>
      </c>
      <c r="F33" s="6" t="n">
        <v>3</v>
      </c>
      <c r="G33" s="6"/>
      <c r="H33" s="6" t="s">
        <v>564</v>
      </c>
      <c r="I33" s="6"/>
      <c r="J33" s="6" t="s">
        <v>2022</v>
      </c>
    </row>
    <row r="34" customFormat="false" ht="23.85" hidden="false" customHeight="false" outlineLevel="0" collapsed="false">
      <c r="A34" s="6" t="s">
        <v>2023</v>
      </c>
      <c r="B34" s="6" t="s">
        <v>15</v>
      </c>
      <c r="C34" s="6" t="s">
        <v>2019</v>
      </c>
      <c r="D34" s="6" t="s">
        <v>2024</v>
      </c>
      <c r="E34" s="6" t="s">
        <v>2025</v>
      </c>
      <c r="F34" s="6" t="n">
        <v>4</v>
      </c>
      <c r="G34" s="6"/>
      <c r="H34" s="6" t="s">
        <v>564</v>
      </c>
      <c r="I34" s="6"/>
      <c r="J34" s="6" t="s">
        <v>2026</v>
      </c>
    </row>
    <row r="35" customFormat="false" ht="23.85" hidden="false" customHeight="false" outlineLevel="0" collapsed="false">
      <c r="A35" s="6" t="s">
        <v>2027</v>
      </c>
      <c r="B35" s="6" t="s">
        <v>15</v>
      </c>
      <c r="C35" s="6" t="s">
        <v>2019</v>
      </c>
      <c r="D35" s="6" t="s">
        <v>2028</v>
      </c>
      <c r="E35" s="6" t="s">
        <v>2029</v>
      </c>
      <c r="F35" s="6" t="n">
        <v>2</v>
      </c>
      <c r="G35" s="6"/>
      <c r="H35" s="6"/>
      <c r="I35" s="6"/>
      <c r="J35" s="6" t="s">
        <v>2030</v>
      </c>
    </row>
    <row r="36" customFormat="false" ht="15" hidden="false" customHeight="false" outlineLevel="0" collapsed="false">
      <c r="A36" s="6" t="s">
        <v>2031</v>
      </c>
      <c r="B36" s="6" t="s">
        <v>15</v>
      </c>
      <c r="C36" s="6" t="s">
        <v>2019</v>
      </c>
      <c r="D36" s="6" t="s">
        <v>2032</v>
      </c>
      <c r="E36" s="6" t="s">
        <v>2033</v>
      </c>
      <c r="F36" s="6" t="n">
        <v>3</v>
      </c>
      <c r="G36" s="6"/>
      <c r="H36" s="6" t="s">
        <v>564</v>
      </c>
      <c r="I36" s="6"/>
      <c r="J36" s="6" t="s">
        <v>2034</v>
      </c>
    </row>
    <row r="37" customFormat="false" ht="23.85" hidden="false" customHeight="false" outlineLevel="0" collapsed="false">
      <c r="A37" s="6" t="s">
        <v>2035</v>
      </c>
      <c r="B37" s="6" t="s">
        <v>15</v>
      </c>
      <c r="C37" s="6" t="s">
        <v>2019</v>
      </c>
      <c r="D37" s="6" t="s">
        <v>2036</v>
      </c>
      <c r="E37" s="6" t="s">
        <v>2037</v>
      </c>
      <c r="F37" s="6" t="n">
        <v>5</v>
      </c>
      <c r="G37" s="6"/>
      <c r="H37" s="6" t="s">
        <v>564</v>
      </c>
      <c r="I37" s="6"/>
      <c r="J37" s="6" t="s">
        <v>2038</v>
      </c>
    </row>
    <row r="38" customFormat="false" ht="23.85" hidden="false" customHeight="false" outlineLevel="0" collapsed="false">
      <c r="A38" s="6" t="s">
        <v>2039</v>
      </c>
      <c r="B38" s="6" t="s">
        <v>15</v>
      </c>
      <c r="C38" s="6" t="s">
        <v>2019</v>
      </c>
      <c r="D38" s="6" t="s">
        <v>2040</v>
      </c>
      <c r="E38" s="6" t="s">
        <v>2041</v>
      </c>
      <c r="F38" s="6" t="n">
        <v>3</v>
      </c>
      <c r="G38" s="6"/>
      <c r="H38" s="6" t="s">
        <v>564</v>
      </c>
      <c r="I38" s="6"/>
      <c r="J38" s="6" t="s">
        <v>2042</v>
      </c>
    </row>
    <row r="39" customFormat="false" ht="23.85" hidden="false" customHeight="false" outlineLevel="0" collapsed="false">
      <c r="A39" s="6" t="s">
        <v>2043</v>
      </c>
      <c r="B39" s="6" t="s">
        <v>15</v>
      </c>
      <c r="C39" s="6" t="s">
        <v>2019</v>
      </c>
      <c r="D39" s="6" t="s">
        <v>2044</v>
      </c>
      <c r="E39" s="6" t="s">
        <v>2045</v>
      </c>
      <c r="F39" s="6" t="n">
        <v>5</v>
      </c>
      <c r="G39" s="6"/>
      <c r="H39" s="6" t="s">
        <v>2046</v>
      </c>
      <c r="I39" s="6" t="s">
        <v>577</v>
      </c>
      <c r="J39" s="6" t="s">
        <v>2047</v>
      </c>
    </row>
    <row r="40" customFormat="false" ht="23.85" hidden="false" customHeight="false" outlineLevel="0" collapsed="false">
      <c r="A40" s="6" t="s">
        <v>717</v>
      </c>
      <c r="B40" s="6" t="s">
        <v>15</v>
      </c>
      <c r="C40" s="6" t="s">
        <v>2048</v>
      </c>
      <c r="D40" s="6" t="s">
        <v>2049</v>
      </c>
      <c r="E40" s="6" t="s">
        <v>2050</v>
      </c>
      <c r="F40" s="6" t="n">
        <v>6</v>
      </c>
      <c r="G40" s="6"/>
      <c r="H40" s="6" t="s">
        <v>680</v>
      </c>
      <c r="I40" s="6" t="s">
        <v>687</v>
      </c>
      <c r="J40" s="6" t="s">
        <v>2051</v>
      </c>
    </row>
    <row r="41" customFormat="false" ht="23.85" hidden="false" customHeight="false" outlineLevel="0" collapsed="false">
      <c r="A41" s="6" t="s">
        <v>2052</v>
      </c>
      <c r="B41" s="6" t="s">
        <v>15</v>
      </c>
      <c r="C41" s="6" t="s">
        <v>2048</v>
      </c>
      <c r="D41" s="6" t="s">
        <v>2053</v>
      </c>
      <c r="E41" s="6" t="s">
        <v>2054</v>
      </c>
      <c r="F41" s="6" t="n">
        <v>1</v>
      </c>
      <c r="G41" s="6"/>
      <c r="H41" s="6"/>
      <c r="I41" s="6" t="s">
        <v>721</v>
      </c>
      <c r="J41" s="6"/>
    </row>
    <row r="42" customFormat="false" ht="23.85" hidden="false" customHeight="false" outlineLevel="0" collapsed="false">
      <c r="A42" s="6" t="s">
        <v>2055</v>
      </c>
      <c r="B42" s="6" t="s">
        <v>15</v>
      </c>
      <c r="C42" s="6" t="s">
        <v>2048</v>
      </c>
      <c r="D42" s="6" t="s">
        <v>2056</v>
      </c>
      <c r="E42" s="6" t="s">
        <v>2057</v>
      </c>
      <c r="F42" s="6" t="n">
        <v>3</v>
      </c>
      <c r="G42" s="6"/>
      <c r="H42" s="6"/>
      <c r="I42" s="6" t="s">
        <v>2058</v>
      </c>
      <c r="J42" s="6" t="s">
        <v>651</v>
      </c>
    </row>
    <row r="43" customFormat="false" ht="23.85" hidden="false" customHeight="false" outlineLevel="0" collapsed="false">
      <c r="A43" s="6" t="s">
        <v>412</v>
      </c>
      <c r="B43" s="6" t="s">
        <v>15</v>
      </c>
      <c r="C43" s="6" t="s">
        <v>2048</v>
      </c>
      <c r="D43" s="6" t="s">
        <v>2059</v>
      </c>
      <c r="E43" s="6" t="s">
        <v>2060</v>
      </c>
      <c r="F43" s="6" t="n">
        <v>5</v>
      </c>
      <c r="G43" s="6"/>
      <c r="H43" s="6"/>
      <c r="I43" s="6" t="s">
        <v>2061</v>
      </c>
      <c r="J43" s="6" t="s">
        <v>2062</v>
      </c>
    </row>
    <row r="44" customFormat="false" ht="23.85" hidden="false" customHeight="false" outlineLevel="0" collapsed="false">
      <c r="A44" s="6" t="s">
        <v>2063</v>
      </c>
      <c r="B44" s="6" t="s">
        <v>15</v>
      </c>
      <c r="C44" s="6" t="s">
        <v>2048</v>
      </c>
      <c r="D44" s="6" t="s">
        <v>2064</v>
      </c>
      <c r="E44" s="6" t="s">
        <v>2065</v>
      </c>
      <c r="F44" s="6" t="n">
        <v>3</v>
      </c>
      <c r="G44" s="6"/>
      <c r="H44" s="6"/>
      <c r="I44" s="6" t="s">
        <v>186</v>
      </c>
      <c r="J44" s="6" t="s">
        <v>2066</v>
      </c>
    </row>
    <row r="45" customFormat="false" ht="23.85" hidden="false" customHeight="false" outlineLevel="0" collapsed="false">
      <c r="A45" s="6" t="s">
        <v>667</v>
      </c>
      <c r="B45" s="6" t="s">
        <v>15</v>
      </c>
      <c r="C45" s="6" t="s">
        <v>2048</v>
      </c>
      <c r="D45" s="6" t="s">
        <v>2067</v>
      </c>
      <c r="E45" s="6" t="s">
        <v>2068</v>
      </c>
      <c r="F45" s="6" t="n">
        <v>5</v>
      </c>
      <c r="G45" s="6"/>
      <c r="H45" s="6"/>
      <c r="I45" s="6" t="s">
        <v>2069</v>
      </c>
      <c r="J45" s="6" t="s">
        <v>2070</v>
      </c>
    </row>
    <row r="46" customFormat="false" ht="23.85" hidden="false" customHeight="false" outlineLevel="0" collapsed="false">
      <c r="A46" s="6" t="s">
        <v>339</v>
      </c>
      <c r="B46" s="6" t="s">
        <v>15</v>
      </c>
      <c r="C46" s="6" t="s">
        <v>2048</v>
      </c>
      <c r="D46" s="6" t="s">
        <v>2071</v>
      </c>
      <c r="E46" s="6" t="s">
        <v>2072</v>
      </c>
      <c r="F46" s="6" t="n">
        <v>5</v>
      </c>
      <c r="G46" s="6"/>
      <c r="H46" s="6"/>
      <c r="I46" s="6" t="s">
        <v>2073</v>
      </c>
      <c r="J46" s="6" t="s">
        <v>2074</v>
      </c>
    </row>
    <row r="47" customFormat="false" ht="23.85" hidden="false" customHeight="false" outlineLevel="0" collapsed="false">
      <c r="A47" s="6" t="s">
        <v>734</v>
      </c>
      <c r="B47" s="6" t="s">
        <v>15</v>
      </c>
      <c r="C47" s="6" t="s">
        <v>2048</v>
      </c>
      <c r="D47" s="6" t="s">
        <v>2075</v>
      </c>
      <c r="E47" s="6" t="s">
        <v>2076</v>
      </c>
      <c r="F47" s="6" t="n">
        <v>2</v>
      </c>
      <c r="G47" s="6"/>
      <c r="H47" s="6"/>
      <c r="I47" s="6" t="s">
        <v>2077</v>
      </c>
      <c r="J47" s="6"/>
    </row>
    <row r="48" customFormat="false" ht="23.85" hidden="false" customHeight="false" outlineLevel="0" collapsed="false">
      <c r="A48" s="6" t="s">
        <v>2078</v>
      </c>
      <c r="B48" s="6" t="s">
        <v>15</v>
      </c>
      <c r="C48" s="6" t="s">
        <v>2048</v>
      </c>
      <c r="D48" s="6" t="s">
        <v>2079</v>
      </c>
      <c r="E48" s="6" t="s">
        <v>2080</v>
      </c>
      <c r="F48" s="6" t="n">
        <v>1</v>
      </c>
      <c r="G48" s="6"/>
      <c r="H48" s="6" t="s">
        <v>547</v>
      </c>
      <c r="I48" s="6"/>
      <c r="J48" s="6"/>
    </row>
    <row r="49" customFormat="false" ht="15" hidden="false" customHeight="false" outlineLevel="0" collapsed="false">
      <c r="A49" s="6" t="s">
        <v>2081</v>
      </c>
      <c r="B49" s="6" t="s">
        <v>15</v>
      </c>
      <c r="C49" s="6" t="s">
        <v>2048</v>
      </c>
      <c r="D49" s="6" t="s">
        <v>2082</v>
      </c>
      <c r="E49" s="6" t="s">
        <v>2083</v>
      </c>
      <c r="F49" s="6" t="n">
        <v>3</v>
      </c>
      <c r="G49" s="6"/>
      <c r="H49" s="6" t="s">
        <v>547</v>
      </c>
      <c r="I49" s="6" t="s">
        <v>509</v>
      </c>
      <c r="J49" s="6" t="s">
        <v>530</v>
      </c>
    </row>
    <row r="50" customFormat="false" ht="23.85" hidden="false" customHeight="false" outlineLevel="0" collapsed="false">
      <c r="A50" s="6" t="s">
        <v>2084</v>
      </c>
      <c r="B50" s="6" t="s">
        <v>15</v>
      </c>
      <c r="C50" s="6" t="s">
        <v>2085</v>
      </c>
      <c r="D50" s="6" t="s">
        <v>2086</v>
      </c>
      <c r="E50" s="6" t="s">
        <v>2087</v>
      </c>
      <c r="F50" s="6" t="n">
        <v>5</v>
      </c>
      <c r="G50" s="6"/>
      <c r="H50" s="6"/>
      <c r="I50" s="6" t="s">
        <v>2088</v>
      </c>
      <c r="J50" s="6" t="s">
        <v>2089</v>
      </c>
    </row>
    <row r="51" customFormat="false" ht="23.85" hidden="false" customHeight="false" outlineLevel="0" collapsed="false">
      <c r="A51" s="6" t="s">
        <v>2090</v>
      </c>
      <c r="B51" s="6" t="s">
        <v>15</v>
      </c>
      <c r="C51" s="6" t="s">
        <v>2085</v>
      </c>
      <c r="D51" s="6" t="s">
        <v>2091</v>
      </c>
      <c r="E51" s="6" t="s">
        <v>2092</v>
      </c>
      <c r="F51" s="6" t="n">
        <v>5</v>
      </c>
      <c r="G51" s="6"/>
      <c r="H51" s="6"/>
      <c r="I51" s="6" t="s">
        <v>2093</v>
      </c>
      <c r="J51" s="6" t="s">
        <v>2094</v>
      </c>
    </row>
    <row r="52" customFormat="false" ht="23.85" hidden="false" customHeight="false" outlineLevel="0" collapsed="false">
      <c r="A52" s="6" t="s">
        <v>2095</v>
      </c>
      <c r="B52" s="6" t="s">
        <v>15</v>
      </c>
      <c r="C52" s="6" t="s">
        <v>2085</v>
      </c>
      <c r="D52" s="6" t="s">
        <v>2096</v>
      </c>
      <c r="E52" s="6" t="s">
        <v>2097</v>
      </c>
      <c r="F52" s="6" t="n">
        <v>3</v>
      </c>
      <c r="G52" s="6"/>
      <c r="H52" s="6"/>
      <c r="I52" s="6" t="s">
        <v>737</v>
      </c>
      <c r="J52" s="6" t="s">
        <v>1468</v>
      </c>
    </row>
    <row r="53" customFormat="false" ht="35.05" hidden="false" customHeight="false" outlineLevel="0" collapsed="false">
      <c r="A53" s="6" t="s">
        <v>2098</v>
      </c>
      <c r="B53" s="6" t="s">
        <v>15</v>
      </c>
      <c r="C53" s="6" t="s">
        <v>2085</v>
      </c>
      <c r="D53" s="6" t="s">
        <v>2099</v>
      </c>
      <c r="E53" s="6" t="s">
        <v>2100</v>
      </c>
      <c r="F53" s="6" t="n">
        <v>5</v>
      </c>
      <c r="G53" s="6"/>
      <c r="H53" s="6"/>
      <c r="I53" s="6" t="s">
        <v>2101</v>
      </c>
      <c r="J53" s="6" t="s">
        <v>1468</v>
      </c>
    </row>
    <row r="54" customFormat="false" ht="23.85" hidden="false" customHeight="false" outlineLevel="0" collapsed="false">
      <c r="A54" s="6" t="s">
        <v>2102</v>
      </c>
      <c r="B54" s="6" t="s">
        <v>16</v>
      </c>
      <c r="C54" s="6" t="s">
        <v>2103</v>
      </c>
      <c r="D54" s="6" t="s">
        <v>2104</v>
      </c>
      <c r="E54" s="6" t="s">
        <v>2105</v>
      </c>
      <c r="F54" s="6" t="n">
        <v>6</v>
      </c>
      <c r="G54" s="6" t="s">
        <v>774</v>
      </c>
      <c r="H54" s="6" t="s">
        <v>2106</v>
      </c>
      <c r="I54" s="6" t="s">
        <v>814</v>
      </c>
      <c r="J54" s="6" t="s">
        <v>2107</v>
      </c>
    </row>
    <row r="55" customFormat="false" ht="23.85" hidden="false" customHeight="false" outlineLevel="0" collapsed="false">
      <c r="A55" s="6" t="s">
        <v>2108</v>
      </c>
      <c r="B55" s="6" t="s">
        <v>16</v>
      </c>
      <c r="C55" s="6" t="s">
        <v>2103</v>
      </c>
      <c r="D55" s="6" t="s">
        <v>2109</v>
      </c>
      <c r="E55" s="6" t="s">
        <v>2110</v>
      </c>
      <c r="F55" s="6" t="n">
        <v>2</v>
      </c>
      <c r="G55" s="6" t="s">
        <v>774</v>
      </c>
      <c r="H55" s="6" t="s">
        <v>786</v>
      </c>
      <c r="I55" s="6"/>
      <c r="J55" s="6"/>
    </row>
    <row r="56" customFormat="false" ht="23.85" hidden="false" customHeight="false" outlineLevel="0" collapsed="false">
      <c r="A56" s="6" t="s">
        <v>2111</v>
      </c>
      <c r="B56" s="6" t="s">
        <v>16</v>
      </c>
      <c r="C56" s="6" t="s">
        <v>2103</v>
      </c>
      <c r="D56" s="6" t="s">
        <v>2112</v>
      </c>
      <c r="E56" s="6" t="s">
        <v>2113</v>
      </c>
      <c r="F56" s="6" t="n">
        <v>4</v>
      </c>
      <c r="G56" s="6" t="s">
        <v>774</v>
      </c>
      <c r="H56" s="6" t="s">
        <v>2114</v>
      </c>
      <c r="I56" s="6"/>
      <c r="J56" s="6"/>
    </row>
    <row r="57" customFormat="false" ht="23.85" hidden="false" customHeight="false" outlineLevel="0" collapsed="false">
      <c r="A57" s="6" t="s">
        <v>2115</v>
      </c>
      <c r="B57" s="6" t="s">
        <v>16</v>
      </c>
      <c r="C57" s="6" t="s">
        <v>2103</v>
      </c>
      <c r="D57" s="6" t="s">
        <v>2116</v>
      </c>
      <c r="E57" s="6" t="s">
        <v>2117</v>
      </c>
      <c r="F57" s="6" t="n">
        <v>2</v>
      </c>
      <c r="G57" s="6" t="s">
        <v>774</v>
      </c>
      <c r="H57" s="6" t="s">
        <v>786</v>
      </c>
      <c r="I57" s="6"/>
      <c r="J57" s="6"/>
    </row>
    <row r="58" customFormat="false" ht="35.05" hidden="false" customHeight="false" outlineLevel="0" collapsed="false">
      <c r="A58" s="6" t="s">
        <v>827</v>
      </c>
      <c r="B58" s="6" t="s">
        <v>16</v>
      </c>
      <c r="C58" s="6" t="s">
        <v>2103</v>
      </c>
      <c r="D58" s="6" t="s">
        <v>2118</v>
      </c>
      <c r="E58" s="6" t="s">
        <v>2119</v>
      </c>
      <c r="F58" s="6" t="n">
        <v>13</v>
      </c>
      <c r="G58" s="6" t="s">
        <v>774</v>
      </c>
      <c r="H58" s="6" t="s">
        <v>2120</v>
      </c>
      <c r="I58" s="6" t="s">
        <v>1433</v>
      </c>
      <c r="J58" s="6" t="s">
        <v>2121</v>
      </c>
    </row>
    <row r="59" customFormat="false" ht="23.85" hidden="false" customHeight="false" outlineLevel="0" collapsed="false">
      <c r="A59" s="6" t="s">
        <v>878</v>
      </c>
      <c r="B59" s="6" t="s">
        <v>16</v>
      </c>
      <c r="C59" s="6" t="s">
        <v>2103</v>
      </c>
      <c r="D59" s="6" t="s">
        <v>2122</v>
      </c>
      <c r="E59" s="6" t="s">
        <v>2123</v>
      </c>
      <c r="F59" s="6" t="n">
        <v>3</v>
      </c>
      <c r="G59" s="6" t="s">
        <v>858</v>
      </c>
      <c r="H59" s="6"/>
      <c r="I59" s="6" t="s">
        <v>865</v>
      </c>
      <c r="J59" s="6" t="s">
        <v>873</v>
      </c>
    </row>
    <row r="60" customFormat="false" ht="23.85" hidden="false" customHeight="false" outlineLevel="0" collapsed="false">
      <c r="A60" s="6" t="s">
        <v>914</v>
      </c>
      <c r="B60" s="6" t="s">
        <v>16</v>
      </c>
      <c r="C60" s="6" t="s">
        <v>2124</v>
      </c>
      <c r="D60" s="6" t="s">
        <v>2125</v>
      </c>
      <c r="E60" s="6" t="s">
        <v>2126</v>
      </c>
      <c r="F60" s="6" t="n">
        <v>4</v>
      </c>
      <c r="G60" s="6" t="s">
        <v>308</v>
      </c>
      <c r="H60" s="6"/>
      <c r="I60" s="6" t="s">
        <v>2127</v>
      </c>
      <c r="J60" s="6" t="s">
        <v>903</v>
      </c>
    </row>
    <row r="61" customFormat="false" ht="23.85" hidden="false" customHeight="false" outlineLevel="0" collapsed="false">
      <c r="A61" s="6" t="s">
        <v>2128</v>
      </c>
      <c r="B61" s="6" t="s">
        <v>16</v>
      </c>
      <c r="C61" s="6" t="s">
        <v>2124</v>
      </c>
      <c r="D61" s="6" t="s">
        <v>2129</v>
      </c>
      <c r="E61" s="6" t="s">
        <v>2130</v>
      </c>
      <c r="F61" s="6" t="n">
        <v>3</v>
      </c>
      <c r="G61" s="6"/>
      <c r="H61" s="6"/>
      <c r="I61" s="6" t="s">
        <v>883</v>
      </c>
      <c r="J61" s="6" t="s">
        <v>2131</v>
      </c>
    </row>
    <row r="62" customFormat="false" ht="35.05" hidden="false" customHeight="false" outlineLevel="0" collapsed="false">
      <c r="A62" s="6" t="s">
        <v>2132</v>
      </c>
      <c r="B62" s="6" t="s">
        <v>16</v>
      </c>
      <c r="C62" s="6" t="s">
        <v>2133</v>
      </c>
      <c r="D62" s="6" t="s">
        <v>2134</v>
      </c>
      <c r="E62" s="6" t="s">
        <v>2135</v>
      </c>
      <c r="F62" s="6" t="n">
        <v>7</v>
      </c>
      <c r="G62" s="6" t="s">
        <v>919</v>
      </c>
      <c r="H62" s="6" t="s">
        <v>2136</v>
      </c>
      <c r="I62" s="6"/>
      <c r="J62" s="6" t="s">
        <v>584</v>
      </c>
    </row>
    <row r="63" customFormat="false" ht="23.85" hidden="false" customHeight="false" outlineLevel="0" collapsed="false">
      <c r="A63" s="6" t="s">
        <v>2137</v>
      </c>
      <c r="B63" s="6" t="s">
        <v>16</v>
      </c>
      <c r="C63" s="6" t="s">
        <v>2133</v>
      </c>
      <c r="D63" s="6" t="s">
        <v>2138</v>
      </c>
      <c r="E63" s="6" t="s">
        <v>2139</v>
      </c>
      <c r="F63" s="6" t="n">
        <v>4</v>
      </c>
      <c r="G63" s="6" t="s">
        <v>919</v>
      </c>
      <c r="H63" s="6" t="s">
        <v>2140</v>
      </c>
      <c r="I63" s="6"/>
      <c r="J63" s="6"/>
    </row>
    <row r="64" customFormat="false" ht="23.85" hidden="false" customHeight="false" outlineLevel="0" collapsed="false">
      <c r="A64" s="6" t="s">
        <v>2141</v>
      </c>
      <c r="B64" s="6" t="s">
        <v>16</v>
      </c>
      <c r="C64" s="6" t="s">
        <v>2133</v>
      </c>
      <c r="D64" s="6" t="s">
        <v>2142</v>
      </c>
      <c r="E64" s="6" t="s">
        <v>2143</v>
      </c>
      <c r="F64" s="6" t="n">
        <v>4</v>
      </c>
      <c r="G64" s="6" t="s">
        <v>2144</v>
      </c>
      <c r="H64" s="6" t="s">
        <v>2145</v>
      </c>
      <c r="I64" s="6"/>
      <c r="J64" s="6"/>
    </row>
    <row r="65" customFormat="false" ht="15" hidden="false" customHeight="false" outlineLevel="0" collapsed="false">
      <c r="A65" s="6" t="s">
        <v>949</v>
      </c>
      <c r="B65" s="6" t="s">
        <v>16</v>
      </c>
      <c r="C65" s="6" t="s">
        <v>2133</v>
      </c>
      <c r="D65" s="6" t="s">
        <v>2146</v>
      </c>
      <c r="E65" s="6" t="s">
        <v>2147</v>
      </c>
      <c r="F65" s="6" t="n">
        <v>3</v>
      </c>
      <c r="G65" s="6"/>
      <c r="H65" s="6" t="s">
        <v>945</v>
      </c>
      <c r="I65" s="6" t="s">
        <v>952</v>
      </c>
      <c r="J65" s="6" t="s">
        <v>961</v>
      </c>
    </row>
    <row r="66" customFormat="false" ht="23.85" hidden="false" customHeight="false" outlineLevel="0" collapsed="false">
      <c r="A66" s="6" t="s">
        <v>998</v>
      </c>
      <c r="B66" s="6" t="s">
        <v>16</v>
      </c>
      <c r="C66" s="6" t="s">
        <v>2148</v>
      </c>
      <c r="D66" s="6" t="s">
        <v>2149</v>
      </c>
      <c r="E66" s="6" t="s">
        <v>2150</v>
      </c>
      <c r="F66" s="6" t="n">
        <v>6</v>
      </c>
      <c r="G66" s="6"/>
      <c r="H66" s="6" t="s">
        <v>2151</v>
      </c>
      <c r="I66" s="6" t="s">
        <v>1003</v>
      </c>
      <c r="J66" s="6" t="s">
        <v>1010</v>
      </c>
    </row>
    <row r="67" customFormat="false" ht="23.85" hidden="false" customHeight="false" outlineLevel="0" collapsed="false">
      <c r="A67" s="6" t="s">
        <v>2152</v>
      </c>
      <c r="B67" s="6" t="s">
        <v>16</v>
      </c>
      <c r="C67" s="6" t="s">
        <v>2148</v>
      </c>
      <c r="D67" s="6" t="s">
        <v>2153</v>
      </c>
      <c r="E67" s="6" t="s">
        <v>2154</v>
      </c>
      <c r="F67" s="6" t="n">
        <v>4</v>
      </c>
      <c r="G67" s="6"/>
      <c r="H67" s="6" t="s">
        <v>2155</v>
      </c>
      <c r="I67" s="6" t="s">
        <v>2156</v>
      </c>
      <c r="J67" s="6"/>
    </row>
    <row r="68" customFormat="false" ht="23.85" hidden="false" customHeight="false" outlineLevel="0" collapsed="false">
      <c r="A68" s="6" t="s">
        <v>2157</v>
      </c>
      <c r="B68" s="6" t="s">
        <v>16</v>
      </c>
      <c r="C68" s="6" t="s">
        <v>2148</v>
      </c>
      <c r="D68" s="6" t="s">
        <v>2158</v>
      </c>
      <c r="E68" s="6" t="s">
        <v>2159</v>
      </c>
      <c r="F68" s="6" t="n">
        <v>2</v>
      </c>
      <c r="G68" s="6"/>
      <c r="H68" s="6"/>
      <c r="I68" s="6" t="s">
        <v>2160</v>
      </c>
      <c r="J68" s="6"/>
    </row>
    <row r="69" customFormat="false" ht="23.85" hidden="false" customHeight="false" outlineLevel="0" collapsed="false">
      <c r="A69" s="6" t="s">
        <v>2161</v>
      </c>
      <c r="B69" s="6" t="s">
        <v>16</v>
      </c>
      <c r="C69" s="6" t="s">
        <v>2148</v>
      </c>
      <c r="D69" s="6" t="s">
        <v>2162</v>
      </c>
      <c r="E69" s="6" t="s">
        <v>2163</v>
      </c>
      <c r="F69" s="6" t="n">
        <v>2</v>
      </c>
      <c r="G69" s="6"/>
      <c r="H69" s="6" t="s">
        <v>1025</v>
      </c>
      <c r="I69" s="6"/>
      <c r="J69" s="6" t="s">
        <v>1131</v>
      </c>
    </row>
    <row r="70" customFormat="false" ht="15" hidden="false" customHeight="false" outlineLevel="0" collapsed="false">
      <c r="A70" s="6" t="s">
        <v>2164</v>
      </c>
      <c r="B70" s="6" t="s">
        <v>16</v>
      </c>
      <c r="C70" s="6" t="s">
        <v>2148</v>
      </c>
      <c r="D70" s="6" t="s">
        <v>2165</v>
      </c>
      <c r="E70" s="6" t="s">
        <v>2166</v>
      </c>
      <c r="F70" s="6" t="n">
        <v>2</v>
      </c>
      <c r="G70" s="6"/>
      <c r="H70" s="6" t="s">
        <v>1036</v>
      </c>
      <c r="I70" s="6"/>
      <c r="J70" s="6" t="s">
        <v>1043</v>
      </c>
    </row>
    <row r="71" customFormat="false" ht="23.85" hidden="false" customHeight="false" outlineLevel="0" collapsed="false">
      <c r="A71" s="6" t="s">
        <v>1056</v>
      </c>
      <c r="B71" s="6" t="s">
        <v>16</v>
      </c>
      <c r="C71" s="6" t="s">
        <v>2148</v>
      </c>
      <c r="D71" s="6" t="s">
        <v>2167</v>
      </c>
      <c r="E71" s="6" t="s">
        <v>2168</v>
      </c>
      <c r="F71" s="6" t="n">
        <v>1</v>
      </c>
      <c r="G71" s="6"/>
      <c r="H71" s="6" t="s">
        <v>1052</v>
      </c>
      <c r="I71" s="6"/>
      <c r="J71" s="6"/>
    </row>
    <row r="72" customFormat="false" ht="23.85" hidden="false" customHeight="false" outlineLevel="0" collapsed="false">
      <c r="A72" s="6" t="s">
        <v>1084</v>
      </c>
      <c r="B72" s="6" t="s">
        <v>16</v>
      </c>
      <c r="C72" s="6" t="s">
        <v>2169</v>
      </c>
      <c r="D72" s="6" t="s">
        <v>2170</v>
      </c>
      <c r="E72" s="6" t="s">
        <v>2171</v>
      </c>
      <c r="F72" s="6" t="n">
        <v>7</v>
      </c>
      <c r="G72" s="6"/>
      <c r="H72" s="6" t="s">
        <v>2172</v>
      </c>
      <c r="I72" s="6" t="s">
        <v>1087</v>
      </c>
      <c r="J72" s="6" t="s">
        <v>2173</v>
      </c>
    </row>
    <row r="73" customFormat="false" ht="15" hidden="false" customHeight="false" outlineLevel="0" collapsed="false">
      <c r="A73" s="6" t="s">
        <v>2174</v>
      </c>
      <c r="B73" s="6" t="s">
        <v>16</v>
      </c>
      <c r="C73" s="6" t="s">
        <v>2169</v>
      </c>
      <c r="D73" s="6" t="s">
        <v>2175</v>
      </c>
      <c r="E73" s="6" t="s">
        <v>2176</v>
      </c>
      <c r="F73" s="6" t="n">
        <v>1</v>
      </c>
      <c r="G73" s="6" t="s">
        <v>858</v>
      </c>
      <c r="H73" s="6"/>
      <c r="I73" s="6"/>
      <c r="J73" s="6"/>
    </row>
    <row r="74" customFormat="false" ht="23.85" hidden="false" customHeight="false" outlineLevel="0" collapsed="false">
      <c r="A74" s="6" t="s">
        <v>2177</v>
      </c>
      <c r="B74" s="6" t="s">
        <v>16</v>
      </c>
      <c r="C74" s="6" t="s">
        <v>2169</v>
      </c>
      <c r="D74" s="6" t="s">
        <v>2178</v>
      </c>
      <c r="E74" s="6" t="s">
        <v>2179</v>
      </c>
      <c r="F74" s="6" t="n">
        <v>1</v>
      </c>
      <c r="G74" s="6"/>
      <c r="H74" s="6" t="s">
        <v>1102</v>
      </c>
      <c r="I74" s="6"/>
      <c r="J74" s="6"/>
    </row>
    <row r="75" customFormat="false" ht="15" hidden="false" customHeight="false" outlineLevel="0" collapsed="false">
      <c r="A75" s="6" t="s">
        <v>2180</v>
      </c>
      <c r="B75" s="6" t="s">
        <v>16</v>
      </c>
      <c r="C75" s="6" t="s">
        <v>2169</v>
      </c>
      <c r="D75" s="6" t="s">
        <v>2181</v>
      </c>
      <c r="E75" s="6" t="s">
        <v>2182</v>
      </c>
      <c r="F75" s="6" t="n">
        <v>1</v>
      </c>
      <c r="G75" s="6"/>
      <c r="H75" s="6" t="s">
        <v>1102</v>
      </c>
      <c r="I75" s="6"/>
      <c r="J75" s="6"/>
    </row>
    <row r="76" customFormat="false" ht="23.85" hidden="false" customHeight="false" outlineLevel="0" collapsed="false">
      <c r="A76" s="6" t="s">
        <v>2183</v>
      </c>
      <c r="B76" s="6" t="s">
        <v>17</v>
      </c>
      <c r="C76" s="6" t="s">
        <v>2184</v>
      </c>
      <c r="D76" s="6" t="s">
        <v>2185</v>
      </c>
      <c r="E76" s="6" t="s">
        <v>2186</v>
      </c>
      <c r="F76" s="6" t="n">
        <v>5</v>
      </c>
      <c r="G76" s="6"/>
      <c r="H76" s="6" t="s">
        <v>2187</v>
      </c>
      <c r="I76" s="6" t="s">
        <v>1123</v>
      </c>
      <c r="J76" s="6" t="s">
        <v>2188</v>
      </c>
    </row>
    <row r="77" customFormat="false" ht="23.85" hidden="false" customHeight="false" outlineLevel="0" collapsed="false">
      <c r="A77" s="6" t="s">
        <v>2189</v>
      </c>
      <c r="B77" s="6" t="s">
        <v>17</v>
      </c>
      <c r="C77" s="6" t="s">
        <v>2184</v>
      </c>
      <c r="D77" s="6" t="s">
        <v>2190</v>
      </c>
      <c r="E77" s="6" t="s">
        <v>2191</v>
      </c>
      <c r="F77" s="6" t="n">
        <v>3</v>
      </c>
      <c r="G77" s="6" t="s">
        <v>858</v>
      </c>
      <c r="H77" s="6" t="s">
        <v>1110</v>
      </c>
      <c r="I77" s="6" t="s">
        <v>865</v>
      </c>
      <c r="J77" s="6"/>
    </row>
    <row r="78" customFormat="false" ht="23.85" hidden="false" customHeight="false" outlineLevel="0" collapsed="false">
      <c r="A78" s="6" t="s">
        <v>2192</v>
      </c>
      <c r="B78" s="6" t="s">
        <v>17</v>
      </c>
      <c r="C78" s="6" t="s">
        <v>2184</v>
      </c>
      <c r="D78" s="6" t="s">
        <v>2193</v>
      </c>
      <c r="E78" s="6" t="s">
        <v>2194</v>
      </c>
      <c r="F78" s="6" t="n">
        <v>3</v>
      </c>
      <c r="G78" s="6"/>
      <c r="H78" s="6" t="s">
        <v>2187</v>
      </c>
      <c r="I78" s="6" t="s">
        <v>1123</v>
      </c>
      <c r="J78" s="6"/>
    </row>
    <row r="79" customFormat="false" ht="23.85" hidden="false" customHeight="false" outlineLevel="0" collapsed="false">
      <c r="A79" s="6" t="s">
        <v>2195</v>
      </c>
      <c r="B79" s="6" t="s">
        <v>17</v>
      </c>
      <c r="C79" s="6" t="s">
        <v>2184</v>
      </c>
      <c r="D79" s="6" t="s">
        <v>2196</v>
      </c>
      <c r="E79" s="6" t="s">
        <v>2197</v>
      </c>
      <c r="F79" s="6" t="n">
        <v>2</v>
      </c>
      <c r="G79" s="6"/>
      <c r="H79" s="6" t="s">
        <v>1110</v>
      </c>
      <c r="I79" s="6" t="s">
        <v>1139</v>
      </c>
      <c r="J79" s="6"/>
    </row>
    <row r="80" customFormat="false" ht="23.85" hidden="false" customHeight="false" outlineLevel="0" collapsed="false">
      <c r="A80" s="6" t="s">
        <v>2198</v>
      </c>
      <c r="B80" s="6" t="s">
        <v>17</v>
      </c>
      <c r="C80" s="6" t="s">
        <v>2184</v>
      </c>
      <c r="D80" s="6" t="s">
        <v>2199</v>
      </c>
      <c r="E80" s="6" t="s">
        <v>2200</v>
      </c>
      <c r="F80" s="6" t="n">
        <v>6</v>
      </c>
      <c r="G80" s="6"/>
      <c r="H80" s="6" t="s">
        <v>2201</v>
      </c>
      <c r="I80" s="6" t="s">
        <v>1123</v>
      </c>
      <c r="J80" s="6" t="s">
        <v>2188</v>
      </c>
    </row>
    <row r="81" customFormat="false" ht="23.85" hidden="false" customHeight="false" outlineLevel="0" collapsed="false">
      <c r="A81" s="6" t="s">
        <v>2202</v>
      </c>
      <c r="B81" s="6" t="s">
        <v>17</v>
      </c>
      <c r="C81" s="6" t="s">
        <v>2203</v>
      </c>
      <c r="D81" s="6" t="s">
        <v>2204</v>
      </c>
      <c r="E81" s="6" t="s">
        <v>2205</v>
      </c>
      <c r="F81" s="6" t="n">
        <v>3</v>
      </c>
      <c r="G81" s="6"/>
      <c r="H81" s="6"/>
      <c r="I81" s="6" t="s">
        <v>2206</v>
      </c>
      <c r="J81" s="6" t="s">
        <v>1167</v>
      </c>
    </row>
    <row r="82" customFormat="false" ht="15" hidden="false" customHeight="false" outlineLevel="0" collapsed="false">
      <c r="A82" s="6" t="s">
        <v>2207</v>
      </c>
      <c r="B82" s="6" t="s">
        <v>17</v>
      </c>
      <c r="C82" s="6" t="s">
        <v>2203</v>
      </c>
      <c r="D82" s="6" t="s">
        <v>2208</v>
      </c>
      <c r="E82" s="6" t="s">
        <v>2209</v>
      </c>
      <c r="F82" s="6" t="n">
        <v>2</v>
      </c>
      <c r="G82" s="6"/>
      <c r="H82" s="6"/>
      <c r="I82" s="6" t="s">
        <v>2206</v>
      </c>
      <c r="J82" s="6"/>
    </row>
    <row r="83" customFormat="false" ht="15" hidden="false" customHeight="false" outlineLevel="0" collapsed="false">
      <c r="A83" s="6" t="s">
        <v>2210</v>
      </c>
      <c r="B83" s="6" t="s">
        <v>17</v>
      </c>
      <c r="C83" s="6" t="s">
        <v>2203</v>
      </c>
      <c r="D83" s="6" t="s">
        <v>2211</v>
      </c>
      <c r="E83" s="6" t="s">
        <v>2212</v>
      </c>
      <c r="F83" s="6" t="n">
        <v>2</v>
      </c>
      <c r="G83" s="6"/>
      <c r="H83" s="6" t="s">
        <v>1159</v>
      </c>
      <c r="I83" s="6" t="s">
        <v>1149</v>
      </c>
      <c r="J83" s="6"/>
    </row>
    <row r="84" customFormat="false" ht="23.85" hidden="false" customHeight="false" outlineLevel="0" collapsed="false">
      <c r="A84" s="6" t="s">
        <v>2213</v>
      </c>
      <c r="B84" s="6" t="s">
        <v>17</v>
      </c>
      <c r="C84" s="6" t="s">
        <v>2203</v>
      </c>
      <c r="D84" s="6" t="s">
        <v>2214</v>
      </c>
      <c r="E84" s="6" t="s">
        <v>2215</v>
      </c>
      <c r="F84" s="6" t="n">
        <v>2</v>
      </c>
      <c r="G84" s="6"/>
      <c r="H84" s="6"/>
      <c r="I84" s="6" t="s">
        <v>2216</v>
      </c>
      <c r="J84" s="6"/>
    </row>
    <row r="85" customFormat="false" ht="23.85" hidden="false" customHeight="false" outlineLevel="0" collapsed="false">
      <c r="A85" s="6" t="s">
        <v>2217</v>
      </c>
      <c r="B85" s="6" t="s">
        <v>17</v>
      </c>
      <c r="C85" s="6" t="s">
        <v>2203</v>
      </c>
      <c r="D85" s="6" t="s">
        <v>2218</v>
      </c>
      <c r="E85" s="6" t="s">
        <v>2219</v>
      </c>
      <c r="F85" s="6" t="n">
        <v>3</v>
      </c>
      <c r="G85" s="6"/>
      <c r="H85" s="6"/>
      <c r="I85" s="6" t="s">
        <v>2206</v>
      </c>
      <c r="J85" s="6" t="s">
        <v>1167</v>
      </c>
    </row>
    <row r="86" customFormat="false" ht="23.85" hidden="false" customHeight="false" outlineLevel="0" collapsed="false">
      <c r="A86" s="6" t="s">
        <v>2220</v>
      </c>
      <c r="B86" s="6" t="s">
        <v>17</v>
      </c>
      <c r="C86" s="6" t="s">
        <v>2203</v>
      </c>
      <c r="D86" s="6" t="s">
        <v>2221</v>
      </c>
      <c r="E86" s="6" t="s">
        <v>2222</v>
      </c>
      <c r="F86" s="6" t="n">
        <v>1</v>
      </c>
      <c r="G86" s="6"/>
      <c r="H86" s="6" t="s">
        <v>1159</v>
      </c>
      <c r="I86" s="6"/>
      <c r="J86" s="6"/>
    </row>
    <row r="87" customFormat="false" ht="23.85" hidden="false" customHeight="false" outlineLevel="0" collapsed="false">
      <c r="A87" s="6" t="s">
        <v>2223</v>
      </c>
      <c r="B87" s="6" t="s">
        <v>18</v>
      </c>
      <c r="C87" s="6" t="s">
        <v>2224</v>
      </c>
      <c r="D87" s="6" t="s">
        <v>2225</v>
      </c>
      <c r="E87" s="6" t="s">
        <v>2226</v>
      </c>
      <c r="F87" s="6" t="n">
        <v>2</v>
      </c>
      <c r="G87" s="6"/>
      <c r="H87" s="6"/>
      <c r="I87" s="6" t="s">
        <v>1164</v>
      </c>
      <c r="J87" s="6" t="s">
        <v>1191</v>
      </c>
    </row>
    <row r="88" customFormat="false" ht="15" hidden="false" customHeight="false" outlineLevel="0" collapsed="false">
      <c r="A88" s="6" t="s">
        <v>1239</v>
      </c>
      <c r="B88" s="6" t="s">
        <v>18</v>
      </c>
      <c r="C88" s="6" t="s">
        <v>2224</v>
      </c>
      <c r="D88" s="6" t="s">
        <v>2227</v>
      </c>
      <c r="E88" s="6" t="s">
        <v>2228</v>
      </c>
      <c r="F88" s="6" t="n">
        <v>3</v>
      </c>
      <c r="G88" s="6"/>
      <c r="H88" s="6"/>
      <c r="I88" s="6" t="s">
        <v>1193</v>
      </c>
      <c r="J88" s="6" t="s">
        <v>2229</v>
      </c>
    </row>
    <row r="89" customFormat="false" ht="15" hidden="false" customHeight="false" outlineLevel="0" collapsed="false">
      <c r="A89" s="6" t="s">
        <v>2230</v>
      </c>
      <c r="B89" s="6" t="s">
        <v>18</v>
      </c>
      <c r="C89" s="6" t="s">
        <v>2224</v>
      </c>
      <c r="D89" s="6" t="s">
        <v>2231</v>
      </c>
      <c r="E89" s="6" t="s">
        <v>2232</v>
      </c>
      <c r="F89" s="6" t="n">
        <v>4</v>
      </c>
      <c r="G89" s="6"/>
      <c r="H89" s="6" t="s">
        <v>1159</v>
      </c>
      <c r="I89" s="6" t="s">
        <v>2233</v>
      </c>
      <c r="J89" s="6" t="s">
        <v>1243</v>
      </c>
    </row>
    <row r="90" customFormat="false" ht="23.85" hidden="false" customHeight="false" outlineLevel="0" collapsed="false">
      <c r="A90" s="6" t="s">
        <v>2234</v>
      </c>
      <c r="B90" s="6" t="s">
        <v>18</v>
      </c>
      <c r="C90" s="6" t="s">
        <v>2224</v>
      </c>
      <c r="D90" s="6" t="s">
        <v>2235</v>
      </c>
      <c r="E90" s="6" t="s">
        <v>2236</v>
      </c>
      <c r="F90" s="6" t="n">
        <v>3</v>
      </c>
      <c r="G90" s="6"/>
      <c r="H90" s="6"/>
      <c r="I90" s="6" t="s">
        <v>2237</v>
      </c>
      <c r="J90" s="6"/>
    </row>
    <row r="91" customFormat="false" ht="15" hidden="false" customHeight="false" outlineLevel="0" collapsed="false">
      <c r="A91" s="6" t="s">
        <v>2238</v>
      </c>
      <c r="B91" s="6" t="s">
        <v>18</v>
      </c>
      <c r="C91" s="6" t="s">
        <v>2224</v>
      </c>
      <c r="D91" s="6" t="s">
        <v>2239</v>
      </c>
      <c r="E91" s="6" t="s">
        <v>2240</v>
      </c>
      <c r="F91" s="6" t="n">
        <v>2</v>
      </c>
      <c r="G91" s="6"/>
      <c r="H91" s="6"/>
      <c r="I91" s="6" t="s">
        <v>2241</v>
      </c>
      <c r="J91" s="6"/>
    </row>
    <row r="92" customFormat="false" ht="23.85" hidden="false" customHeight="false" outlineLevel="0" collapsed="false">
      <c r="A92" s="6" t="s">
        <v>2242</v>
      </c>
      <c r="B92" s="6" t="s">
        <v>18</v>
      </c>
      <c r="C92" s="6" t="s">
        <v>2243</v>
      </c>
      <c r="D92" s="6" t="s">
        <v>2244</v>
      </c>
      <c r="E92" s="6" t="s">
        <v>2245</v>
      </c>
      <c r="F92" s="6" t="n">
        <v>5</v>
      </c>
      <c r="G92" s="6"/>
      <c r="H92" s="6"/>
      <c r="I92" s="6" t="s">
        <v>2246</v>
      </c>
      <c r="J92" s="6" t="s">
        <v>2247</v>
      </c>
    </row>
    <row r="93" customFormat="false" ht="23.85" hidden="false" customHeight="false" outlineLevel="0" collapsed="false">
      <c r="A93" s="6" t="s">
        <v>2248</v>
      </c>
      <c r="B93" s="6" t="s">
        <v>18</v>
      </c>
      <c r="C93" s="6" t="s">
        <v>2243</v>
      </c>
      <c r="D93" s="6" t="s">
        <v>2249</v>
      </c>
      <c r="E93" s="6" t="s">
        <v>2250</v>
      </c>
      <c r="F93" s="6" t="n">
        <v>3</v>
      </c>
      <c r="G93" s="6"/>
      <c r="H93" s="6"/>
      <c r="I93" s="6" t="s">
        <v>1258</v>
      </c>
      <c r="J93" s="6" t="s">
        <v>2251</v>
      </c>
    </row>
    <row r="94" customFormat="false" ht="23.85" hidden="false" customHeight="false" outlineLevel="0" collapsed="false">
      <c r="A94" s="6" t="s">
        <v>2252</v>
      </c>
      <c r="B94" s="6" t="s">
        <v>18</v>
      </c>
      <c r="C94" s="6" t="s">
        <v>2243</v>
      </c>
      <c r="D94" s="6" t="s">
        <v>2253</v>
      </c>
      <c r="E94" s="6" t="s">
        <v>2254</v>
      </c>
      <c r="F94" s="6" t="n">
        <v>2</v>
      </c>
      <c r="G94" s="6"/>
      <c r="H94" s="6"/>
      <c r="I94" s="6" t="s">
        <v>1258</v>
      </c>
      <c r="J94" s="6" t="s">
        <v>1266</v>
      </c>
    </row>
    <row r="95" customFormat="false" ht="15" hidden="false" customHeight="false" outlineLevel="0" collapsed="false">
      <c r="A95" s="6" t="s">
        <v>2255</v>
      </c>
      <c r="B95" s="6" t="s">
        <v>18</v>
      </c>
      <c r="C95" s="6" t="s">
        <v>2243</v>
      </c>
      <c r="D95" s="6" t="s">
        <v>2256</v>
      </c>
      <c r="E95" s="6" t="s">
        <v>2257</v>
      </c>
      <c r="F95" s="6" t="n">
        <v>4</v>
      </c>
      <c r="G95" s="6"/>
      <c r="H95" s="6"/>
      <c r="I95" s="6" t="s">
        <v>2258</v>
      </c>
      <c r="J95" s="6" t="s">
        <v>2247</v>
      </c>
    </row>
    <row r="96" customFormat="false" ht="23.85" hidden="false" customHeight="false" outlineLevel="0" collapsed="false">
      <c r="A96" s="6" t="s">
        <v>2259</v>
      </c>
      <c r="B96" s="6" t="s">
        <v>18</v>
      </c>
      <c r="C96" s="6" t="s">
        <v>2260</v>
      </c>
      <c r="D96" s="6" t="s">
        <v>2261</v>
      </c>
      <c r="E96" s="6" t="s">
        <v>2262</v>
      </c>
      <c r="F96" s="6" t="n">
        <v>5</v>
      </c>
      <c r="G96" s="6"/>
      <c r="H96" s="6"/>
      <c r="I96" s="6" t="s">
        <v>2263</v>
      </c>
      <c r="J96" s="6" t="s">
        <v>2264</v>
      </c>
    </row>
    <row r="97" customFormat="false" ht="23.85" hidden="false" customHeight="false" outlineLevel="0" collapsed="false">
      <c r="A97" s="6" t="s">
        <v>2265</v>
      </c>
      <c r="B97" s="6" t="s">
        <v>18</v>
      </c>
      <c r="C97" s="6" t="s">
        <v>2260</v>
      </c>
      <c r="D97" s="6" t="s">
        <v>2266</v>
      </c>
      <c r="E97" s="6" t="s">
        <v>2267</v>
      </c>
      <c r="F97" s="6" t="n">
        <v>5</v>
      </c>
      <c r="G97" s="6"/>
      <c r="H97" s="6"/>
      <c r="I97" s="6" t="s">
        <v>2263</v>
      </c>
      <c r="J97" s="6" t="s">
        <v>2264</v>
      </c>
    </row>
    <row r="98" customFormat="false" ht="23.85" hidden="false" customHeight="false" outlineLevel="0" collapsed="false">
      <c r="A98" s="6" t="s">
        <v>2268</v>
      </c>
      <c r="B98" s="6" t="s">
        <v>18</v>
      </c>
      <c r="C98" s="6" t="s">
        <v>2269</v>
      </c>
      <c r="D98" s="6" t="s">
        <v>2270</v>
      </c>
      <c r="E98" s="6" t="s">
        <v>2271</v>
      </c>
      <c r="F98" s="6" t="n">
        <v>4</v>
      </c>
      <c r="G98" s="6"/>
      <c r="H98" s="6"/>
      <c r="I98" s="6" t="s">
        <v>2272</v>
      </c>
      <c r="J98" s="6"/>
    </row>
    <row r="99" customFormat="false" ht="23.85" hidden="false" customHeight="false" outlineLevel="0" collapsed="false">
      <c r="A99" s="6" t="s">
        <v>2273</v>
      </c>
      <c r="B99" s="6" t="s">
        <v>18</v>
      </c>
      <c r="C99" s="6" t="s">
        <v>2269</v>
      </c>
      <c r="D99" s="6" t="s">
        <v>2274</v>
      </c>
      <c r="E99" s="6" t="s">
        <v>2275</v>
      </c>
      <c r="F99" s="6" t="n">
        <v>4</v>
      </c>
      <c r="G99" s="6"/>
      <c r="H99" s="6"/>
      <c r="I99" s="6" t="s">
        <v>2272</v>
      </c>
      <c r="J99" s="6"/>
    </row>
    <row r="100" customFormat="false" ht="23.85" hidden="false" customHeight="false" outlineLevel="0" collapsed="false">
      <c r="A100" s="6" t="s">
        <v>2276</v>
      </c>
      <c r="B100" s="6" t="s">
        <v>19</v>
      </c>
      <c r="C100" s="6" t="s">
        <v>2277</v>
      </c>
      <c r="D100" s="6" t="s">
        <v>2278</v>
      </c>
      <c r="E100" s="6" t="s">
        <v>2279</v>
      </c>
      <c r="F100" s="6" t="n">
        <v>3</v>
      </c>
      <c r="G100" s="6" t="s">
        <v>638</v>
      </c>
      <c r="H100" s="6"/>
      <c r="I100" s="6" t="s">
        <v>2280</v>
      </c>
      <c r="J100" s="6"/>
    </row>
    <row r="101" customFormat="false" ht="23.85" hidden="false" customHeight="false" outlineLevel="0" collapsed="false">
      <c r="A101" s="6" t="s">
        <v>2281</v>
      </c>
      <c r="B101" s="6" t="s">
        <v>19</v>
      </c>
      <c r="C101" s="6" t="s">
        <v>2277</v>
      </c>
      <c r="D101" s="6" t="s">
        <v>2282</v>
      </c>
      <c r="E101" s="6" t="s">
        <v>2283</v>
      </c>
      <c r="F101" s="6" t="n">
        <v>4</v>
      </c>
      <c r="G101" s="6"/>
      <c r="H101" s="6"/>
      <c r="I101" s="6" t="s">
        <v>2284</v>
      </c>
      <c r="J101" s="6" t="s">
        <v>760</v>
      </c>
    </row>
    <row r="102" customFormat="false" ht="23.85" hidden="false" customHeight="false" outlineLevel="0" collapsed="false">
      <c r="A102" s="6" t="s">
        <v>2285</v>
      </c>
      <c r="B102" s="6" t="s">
        <v>19</v>
      </c>
      <c r="C102" s="6" t="s">
        <v>2277</v>
      </c>
      <c r="D102" s="6" t="s">
        <v>2286</v>
      </c>
      <c r="E102" s="6" t="s">
        <v>2287</v>
      </c>
      <c r="F102" s="6" t="n">
        <v>5</v>
      </c>
      <c r="G102" s="6"/>
      <c r="H102" s="6"/>
      <c r="I102" s="6" t="s">
        <v>2288</v>
      </c>
      <c r="J102" s="6" t="s">
        <v>961</v>
      </c>
    </row>
    <row r="103" customFormat="false" ht="23.85" hidden="false" customHeight="false" outlineLevel="0" collapsed="false">
      <c r="A103" s="6" t="s">
        <v>2289</v>
      </c>
      <c r="B103" s="6" t="s">
        <v>19</v>
      </c>
      <c r="C103" s="6" t="s">
        <v>2277</v>
      </c>
      <c r="D103" s="6" t="s">
        <v>2290</v>
      </c>
      <c r="E103" s="6" t="s">
        <v>2291</v>
      </c>
      <c r="F103" s="6" t="n">
        <v>2</v>
      </c>
      <c r="G103" s="6"/>
      <c r="H103" s="6"/>
      <c r="I103" s="6" t="s">
        <v>1309</v>
      </c>
      <c r="J103" s="6" t="s">
        <v>1347</v>
      </c>
    </row>
    <row r="104" customFormat="false" ht="23.85" hidden="false" customHeight="false" outlineLevel="0" collapsed="false">
      <c r="A104" s="6" t="s">
        <v>2292</v>
      </c>
      <c r="B104" s="6" t="s">
        <v>19</v>
      </c>
      <c r="C104" s="6" t="s">
        <v>2277</v>
      </c>
      <c r="D104" s="6" t="s">
        <v>2293</v>
      </c>
      <c r="E104" s="6" t="s">
        <v>2294</v>
      </c>
      <c r="F104" s="6" t="n">
        <v>4</v>
      </c>
      <c r="G104" s="6"/>
      <c r="H104" s="6"/>
      <c r="I104" s="6" t="s">
        <v>2295</v>
      </c>
      <c r="J104" s="6" t="s">
        <v>2296</v>
      </c>
    </row>
    <row r="105" customFormat="false" ht="23.85" hidden="false" customHeight="false" outlineLevel="0" collapsed="false">
      <c r="A105" s="6" t="s">
        <v>2297</v>
      </c>
      <c r="B105" s="6" t="s">
        <v>19</v>
      </c>
      <c r="C105" s="6" t="s">
        <v>2277</v>
      </c>
      <c r="D105" s="6" t="s">
        <v>2298</v>
      </c>
      <c r="E105" s="6" t="s">
        <v>2299</v>
      </c>
      <c r="F105" s="6" t="n">
        <v>2</v>
      </c>
      <c r="G105" s="6"/>
      <c r="H105" s="6"/>
      <c r="I105" s="6" t="s">
        <v>1309</v>
      </c>
      <c r="J105" s="6" t="s">
        <v>1347</v>
      </c>
    </row>
    <row r="106" customFormat="false" ht="23.85" hidden="false" customHeight="false" outlineLevel="0" collapsed="false">
      <c r="A106" s="6" t="s">
        <v>2300</v>
      </c>
      <c r="B106" s="6" t="s">
        <v>19</v>
      </c>
      <c r="C106" s="6" t="s">
        <v>2301</v>
      </c>
      <c r="D106" s="6" t="s">
        <v>2302</v>
      </c>
      <c r="E106" s="6" t="s">
        <v>2303</v>
      </c>
      <c r="F106" s="6" t="n">
        <v>4</v>
      </c>
      <c r="G106" s="6"/>
      <c r="H106" s="6"/>
      <c r="I106" s="6" t="s">
        <v>2304</v>
      </c>
      <c r="J106" s="6" t="s">
        <v>1372</v>
      </c>
    </row>
    <row r="107" customFormat="false" ht="23.85" hidden="false" customHeight="false" outlineLevel="0" collapsed="false">
      <c r="A107" s="6" t="s">
        <v>2305</v>
      </c>
      <c r="B107" s="6" t="s">
        <v>19</v>
      </c>
      <c r="C107" s="6" t="s">
        <v>2301</v>
      </c>
      <c r="D107" s="6" t="s">
        <v>2306</v>
      </c>
      <c r="E107" s="6" t="s">
        <v>2307</v>
      </c>
      <c r="F107" s="6" t="n">
        <v>3</v>
      </c>
      <c r="G107" s="6"/>
      <c r="H107" s="6"/>
      <c r="I107" s="6" t="s">
        <v>2308</v>
      </c>
      <c r="J107" s="6" t="s">
        <v>1372</v>
      </c>
    </row>
  </sheetData>
  <autoFilter ref="A1:J1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5"/>
    <col collapsed="false" customWidth="true" hidden="false" outlineLevel="0" max="3" min="3" style="0" width="8"/>
    <col collapsed="false" customWidth="true" hidden="false" outlineLevel="0" max="4" min="4" style="0" width="12"/>
    <col collapsed="false" customWidth="true" hidden="false" outlineLevel="0" max="5" min="5" style="0" width="45"/>
    <col collapsed="false" customWidth="true" hidden="false" outlineLevel="0" max="6" min="6" style="0" width="8"/>
  </cols>
  <sheetData>
    <row r="1" customFormat="false" ht="35.05" hidden="false" customHeight="false" outlineLevel="0" collapsed="false">
      <c r="A1" s="5" t="s">
        <v>2309</v>
      </c>
      <c r="B1" s="5" t="s">
        <v>2310</v>
      </c>
      <c r="C1" s="5" t="s">
        <v>2311</v>
      </c>
      <c r="D1" s="5" t="s">
        <v>2312</v>
      </c>
      <c r="E1" s="5" t="s">
        <v>2313</v>
      </c>
      <c r="F1" s="5" t="s">
        <v>2314</v>
      </c>
    </row>
    <row r="2" customFormat="false" ht="15" hidden="false" customHeight="false" outlineLevel="0" collapsed="false">
      <c r="A2" s="6" t="s">
        <v>90</v>
      </c>
      <c r="B2" s="6" t="s">
        <v>91</v>
      </c>
      <c r="C2" s="6" t="s">
        <v>22</v>
      </c>
      <c r="D2" s="6" t="s">
        <v>110</v>
      </c>
      <c r="E2" s="6" t="s">
        <v>111</v>
      </c>
      <c r="F2" s="6" t="s">
        <v>22</v>
      </c>
    </row>
    <row r="3" customFormat="false" ht="15" hidden="false" customHeight="false" outlineLevel="0" collapsed="false">
      <c r="A3" s="6" t="s">
        <v>90</v>
      </c>
      <c r="B3" s="6" t="s">
        <v>91</v>
      </c>
      <c r="C3" s="6" t="s">
        <v>22</v>
      </c>
      <c r="D3" s="6" t="s">
        <v>124</v>
      </c>
      <c r="E3" s="6" t="s">
        <v>125</v>
      </c>
      <c r="F3" s="6" t="s">
        <v>26</v>
      </c>
    </row>
    <row r="4" customFormat="false" ht="23.85" hidden="false" customHeight="false" outlineLevel="0" collapsed="false">
      <c r="A4" s="6" t="s">
        <v>124</v>
      </c>
      <c r="B4" s="6" t="s">
        <v>125</v>
      </c>
      <c r="C4" s="6" t="s">
        <v>26</v>
      </c>
      <c r="D4" s="6" t="s">
        <v>138</v>
      </c>
      <c r="E4" s="6" t="s">
        <v>139</v>
      </c>
      <c r="F4" s="6" t="s">
        <v>26</v>
      </c>
    </row>
    <row r="5" customFormat="false" ht="15" hidden="false" customHeight="false" outlineLevel="0" collapsed="false">
      <c r="A5" s="6" t="s">
        <v>124</v>
      </c>
      <c r="B5" s="6" t="s">
        <v>125</v>
      </c>
      <c r="C5" s="6" t="s">
        <v>26</v>
      </c>
      <c r="D5" s="6" t="s">
        <v>153</v>
      </c>
      <c r="E5" s="6" t="s">
        <v>154</v>
      </c>
      <c r="F5" s="6" t="s">
        <v>26</v>
      </c>
    </row>
    <row r="6" customFormat="false" ht="15" hidden="false" customHeight="false" outlineLevel="0" collapsed="false">
      <c r="A6" s="6" t="s">
        <v>90</v>
      </c>
      <c r="B6" s="6" t="s">
        <v>91</v>
      </c>
      <c r="C6" s="6" t="s">
        <v>22</v>
      </c>
      <c r="D6" s="6" t="s">
        <v>162</v>
      </c>
      <c r="E6" s="6" t="s">
        <v>163</v>
      </c>
      <c r="F6" s="6" t="s">
        <v>22</v>
      </c>
    </row>
    <row r="7" customFormat="false" ht="15" hidden="false" customHeight="false" outlineLevel="0" collapsed="false">
      <c r="A7" s="6" t="s">
        <v>265</v>
      </c>
      <c r="B7" s="6" t="s">
        <v>288</v>
      </c>
      <c r="C7" s="6" t="s">
        <v>23</v>
      </c>
      <c r="D7" s="6" t="s">
        <v>172</v>
      </c>
      <c r="E7" s="6" t="s">
        <v>177</v>
      </c>
      <c r="F7" s="6" t="s">
        <v>23</v>
      </c>
    </row>
    <row r="8" customFormat="false" ht="15" hidden="false" customHeight="false" outlineLevel="0" collapsed="false">
      <c r="A8" s="6" t="s">
        <v>162</v>
      </c>
      <c r="B8" s="6" t="s">
        <v>163</v>
      </c>
      <c r="C8" s="6" t="s">
        <v>22</v>
      </c>
      <c r="D8" s="6" t="s">
        <v>172</v>
      </c>
      <c r="E8" s="6" t="s">
        <v>177</v>
      </c>
      <c r="F8" s="6" t="s">
        <v>23</v>
      </c>
    </row>
    <row r="9" customFormat="false" ht="15" hidden="false" customHeight="false" outlineLevel="0" collapsed="false">
      <c r="A9" s="6" t="s">
        <v>172</v>
      </c>
      <c r="B9" s="6" t="s">
        <v>177</v>
      </c>
      <c r="C9" s="6" t="s">
        <v>23</v>
      </c>
      <c r="D9" s="6" t="s">
        <v>186</v>
      </c>
      <c r="E9" s="6" t="s">
        <v>189</v>
      </c>
      <c r="F9" s="6" t="s">
        <v>25</v>
      </c>
    </row>
    <row r="10" customFormat="false" ht="15" hidden="false" customHeight="false" outlineLevel="0" collapsed="false">
      <c r="A10" s="6" t="s">
        <v>186</v>
      </c>
      <c r="B10" s="6" t="s">
        <v>189</v>
      </c>
      <c r="C10" s="6" t="s">
        <v>25</v>
      </c>
      <c r="D10" s="6" t="s">
        <v>201</v>
      </c>
      <c r="E10" s="6" t="s">
        <v>202</v>
      </c>
      <c r="F10" s="6" t="s">
        <v>26</v>
      </c>
    </row>
    <row r="11" customFormat="false" ht="23.85" hidden="false" customHeight="false" outlineLevel="0" collapsed="false">
      <c r="A11" s="6" t="s">
        <v>90</v>
      </c>
      <c r="B11" s="6" t="s">
        <v>91</v>
      </c>
      <c r="C11" s="6" t="s">
        <v>22</v>
      </c>
      <c r="D11" s="6" t="s">
        <v>212</v>
      </c>
      <c r="E11" s="6" t="s">
        <v>213</v>
      </c>
      <c r="F11" s="6" t="s">
        <v>22</v>
      </c>
    </row>
    <row r="12" customFormat="false" ht="15" hidden="false" customHeight="false" outlineLevel="0" collapsed="false">
      <c r="A12" s="6" t="s">
        <v>90</v>
      </c>
      <c r="B12" s="6" t="s">
        <v>91</v>
      </c>
      <c r="C12" s="6" t="s">
        <v>22</v>
      </c>
      <c r="D12" s="6" t="s">
        <v>223</v>
      </c>
      <c r="E12" s="6" t="s">
        <v>224</v>
      </c>
      <c r="F12" s="6" t="s">
        <v>26</v>
      </c>
    </row>
    <row r="13" customFormat="false" ht="15" hidden="false" customHeight="false" outlineLevel="0" collapsed="false">
      <c r="A13" s="6" t="s">
        <v>223</v>
      </c>
      <c r="B13" s="6" t="s">
        <v>224</v>
      </c>
      <c r="C13" s="6" t="s">
        <v>26</v>
      </c>
      <c r="D13" s="6" t="s">
        <v>231</v>
      </c>
      <c r="E13" s="6" t="s">
        <v>234</v>
      </c>
      <c r="F13" s="6" t="s">
        <v>26</v>
      </c>
    </row>
    <row r="14" customFormat="false" ht="15" hidden="false" customHeight="false" outlineLevel="0" collapsed="false">
      <c r="A14" s="6" t="s">
        <v>110</v>
      </c>
      <c r="B14" s="6" t="s">
        <v>111</v>
      </c>
      <c r="C14" s="6" t="s">
        <v>22</v>
      </c>
      <c r="D14" s="6" t="s">
        <v>245</v>
      </c>
      <c r="E14" s="6" t="s">
        <v>246</v>
      </c>
      <c r="F14" s="6" t="s">
        <v>25</v>
      </c>
    </row>
    <row r="15" customFormat="false" ht="15" hidden="false" customHeight="false" outlineLevel="0" collapsed="false">
      <c r="A15" s="6" t="s">
        <v>265</v>
      </c>
      <c r="B15" s="6" t="s">
        <v>288</v>
      </c>
      <c r="C15" s="6" t="s">
        <v>23</v>
      </c>
      <c r="D15" s="6" t="s">
        <v>257</v>
      </c>
      <c r="E15" s="6" t="s">
        <v>258</v>
      </c>
      <c r="F15" s="6" t="s">
        <v>24</v>
      </c>
    </row>
    <row r="16" customFormat="false" ht="15" hidden="false" customHeight="false" outlineLevel="0" collapsed="false">
      <c r="A16" s="6" t="s">
        <v>257</v>
      </c>
      <c r="B16" s="6" t="s">
        <v>258</v>
      </c>
      <c r="C16" s="6" t="s">
        <v>24</v>
      </c>
      <c r="D16" s="6" t="s">
        <v>269</v>
      </c>
      <c r="E16" s="6" t="s">
        <v>270</v>
      </c>
      <c r="F16" s="6" t="s">
        <v>26</v>
      </c>
    </row>
    <row r="17" customFormat="false" ht="15" hidden="false" customHeight="false" outlineLevel="0" collapsed="false">
      <c r="A17" s="6" t="s">
        <v>257</v>
      </c>
      <c r="B17" s="6" t="s">
        <v>258</v>
      </c>
      <c r="C17" s="6" t="s">
        <v>24</v>
      </c>
      <c r="D17" s="6" t="s">
        <v>279</v>
      </c>
      <c r="E17" s="6" t="s">
        <v>280</v>
      </c>
      <c r="F17" s="6" t="s">
        <v>26</v>
      </c>
    </row>
    <row r="18" customFormat="false" ht="15" hidden="false" customHeight="false" outlineLevel="0" collapsed="false">
      <c r="A18" s="6" t="s">
        <v>90</v>
      </c>
      <c r="B18" s="6" t="s">
        <v>91</v>
      </c>
      <c r="C18" s="6" t="s">
        <v>22</v>
      </c>
      <c r="D18" s="6" t="s">
        <v>265</v>
      </c>
      <c r="E18" s="6" t="s">
        <v>288</v>
      </c>
      <c r="F18" s="6" t="s">
        <v>23</v>
      </c>
    </row>
    <row r="19" customFormat="false" ht="15" hidden="false" customHeight="false" outlineLevel="0" collapsed="false">
      <c r="A19" s="6" t="s">
        <v>265</v>
      </c>
      <c r="B19" s="6" t="s">
        <v>288</v>
      </c>
      <c r="C19" s="6" t="s">
        <v>23</v>
      </c>
      <c r="D19" s="6" t="s">
        <v>298</v>
      </c>
      <c r="E19" s="6" t="s">
        <v>299</v>
      </c>
      <c r="F19" s="6" t="s">
        <v>25</v>
      </c>
    </row>
    <row r="20" customFormat="false" ht="15" hidden="false" customHeight="false" outlineLevel="0" collapsed="false">
      <c r="A20" s="6" t="s">
        <v>265</v>
      </c>
      <c r="B20" s="6" t="s">
        <v>288</v>
      </c>
      <c r="C20" s="6" t="s">
        <v>23</v>
      </c>
      <c r="D20" s="6" t="s">
        <v>308</v>
      </c>
      <c r="E20" s="6" t="s">
        <v>309</v>
      </c>
      <c r="F20" s="6" t="s">
        <v>23</v>
      </c>
    </row>
    <row r="21" customFormat="false" ht="15" hidden="false" customHeight="false" outlineLevel="0" collapsed="false">
      <c r="A21" s="6" t="s">
        <v>308</v>
      </c>
      <c r="B21" s="6" t="s">
        <v>309</v>
      </c>
      <c r="C21" s="6" t="s">
        <v>23</v>
      </c>
      <c r="D21" s="6" t="s">
        <v>318</v>
      </c>
      <c r="E21" s="6" t="s">
        <v>319</v>
      </c>
      <c r="F21" s="6" t="s">
        <v>23</v>
      </c>
    </row>
    <row r="22" customFormat="false" ht="15" hidden="false" customHeight="false" outlineLevel="0" collapsed="false">
      <c r="A22" s="6" t="s">
        <v>265</v>
      </c>
      <c r="B22" s="6" t="s">
        <v>288</v>
      </c>
      <c r="C22" s="6" t="s">
        <v>23</v>
      </c>
      <c r="D22" s="6" t="s">
        <v>327</v>
      </c>
      <c r="E22" s="6" t="s">
        <v>328</v>
      </c>
      <c r="F22" s="6" t="s">
        <v>25</v>
      </c>
    </row>
    <row r="23" customFormat="false" ht="15" hidden="false" customHeight="false" outlineLevel="0" collapsed="false">
      <c r="A23" s="6" t="s">
        <v>327</v>
      </c>
      <c r="B23" s="6" t="s">
        <v>328</v>
      </c>
      <c r="C23" s="6" t="s">
        <v>25</v>
      </c>
      <c r="D23" s="6" t="s">
        <v>336</v>
      </c>
      <c r="E23" s="6" t="s">
        <v>337</v>
      </c>
      <c r="F23" s="6" t="s">
        <v>26</v>
      </c>
    </row>
    <row r="24" customFormat="false" ht="15" hidden="false" customHeight="false" outlineLevel="0" collapsed="false">
      <c r="A24" s="6" t="s">
        <v>327</v>
      </c>
      <c r="B24" s="6" t="s">
        <v>328</v>
      </c>
      <c r="C24" s="6" t="s">
        <v>25</v>
      </c>
      <c r="D24" s="6" t="s">
        <v>342</v>
      </c>
      <c r="E24" s="6" t="s">
        <v>343</v>
      </c>
      <c r="F24" s="6" t="s">
        <v>26</v>
      </c>
    </row>
    <row r="25" customFormat="false" ht="15" hidden="false" customHeight="false" outlineLevel="0" collapsed="false">
      <c r="A25" s="6" t="s">
        <v>186</v>
      </c>
      <c r="B25" s="6" t="s">
        <v>189</v>
      </c>
      <c r="C25" s="6" t="s">
        <v>25</v>
      </c>
      <c r="D25" s="6" t="s">
        <v>349</v>
      </c>
      <c r="E25" s="6" t="s">
        <v>350</v>
      </c>
      <c r="F25" s="6" t="s">
        <v>26</v>
      </c>
    </row>
    <row r="26" customFormat="false" ht="23.85" hidden="false" customHeight="false" outlineLevel="0" collapsed="false">
      <c r="A26" s="6" t="s">
        <v>138</v>
      </c>
      <c r="B26" s="6" t="s">
        <v>139</v>
      </c>
      <c r="C26" s="6" t="s">
        <v>26</v>
      </c>
      <c r="D26" s="6" t="s">
        <v>148</v>
      </c>
      <c r="E26" s="6" t="s">
        <v>358</v>
      </c>
      <c r="F26" s="6" t="s">
        <v>26</v>
      </c>
    </row>
    <row r="27" customFormat="false" ht="15" hidden="false" customHeight="false" outlineLevel="0" collapsed="false">
      <c r="A27" s="6" t="s">
        <v>265</v>
      </c>
      <c r="B27" s="6" t="s">
        <v>288</v>
      </c>
      <c r="C27" s="6" t="s">
        <v>23</v>
      </c>
      <c r="D27" s="6" t="s">
        <v>369</v>
      </c>
      <c r="E27" s="6" t="s">
        <v>370</v>
      </c>
      <c r="F27" s="6" t="s">
        <v>23</v>
      </c>
    </row>
    <row r="28" customFormat="false" ht="15" hidden="false" customHeight="false" outlineLevel="0" collapsed="false">
      <c r="A28" s="6" t="s">
        <v>369</v>
      </c>
      <c r="B28" s="6" t="s">
        <v>370</v>
      </c>
      <c r="C28" s="6" t="s">
        <v>23</v>
      </c>
      <c r="D28" s="6" t="s">
        <v>382</v>
      </c>
      <c r="E28" s="6" t="s">
        <v>383</v>
      </c>
      <c r="F28" s="6" t="s">
        <v>26</v>
      </c>
    </row>
    <row r="29" customFormat="false" ht="15" hidden="false" customHeight="false" outlineLevel="0" collapsed="false">
      <c r="A29" s="6" t="s">
        <v>369</v>
      </c>
      <c r="B29" s="6" t="s">
        <v>370</v>
      </c>
      <c r="C29" s="6" t="s">
        <v>23</v>
      </c>
      <c r="D29" s="6" t="s">
        <v>394</v>
      </c>
      <c r="E29" s="6" t="s">
        <v>395</v>
      </c>
      <c r="F29" s="6" t="s">
        <v>26</v>
      </c>
    </row>
    <row r="30" customFormat="false" ht="15" hidden="false" customHeight="false" outlineLevel="0" collapsed="false">
      <c r="A30" s="6" t="s">
        <v>369</v>
      </c>
      <c r="B30" s="6" t="s">
        <v>370</v>
      </c>
      <c r="C30" s="6" t="s">
        <v>23</v>
      </c>
      <c r="D30" s="6" t="s">
        <v>400</v>
      </c>
      <c r="E30" s="6" t="s">
        <v>401</v>
      </c>
      <c r="F30" s="6" t="s">
        <v>25</v>
      </c>
    </row>
    <row r="31" customFormat="false" ht="15" hidden="false" customHeight="false" outlineLevel="0" collapsed="false">
      <c r="A31" s="6" t="s">
        <v>400</v>
      </c>
      <c r="B31" s="6" t="s">
        <v>401</v>
      </c>
      <c r="C31" s="6" t="s">
        <v>25</v>
      </c>
      <c r="D31" s="6" t="s">
        <v>406</v>
      </c>
      <c r="E31" s="6" t="s">
        <v>409</v>
      </c>
      <c r="F31" s="6" t="s">
        <v>26</v>
      </c>
    </row>
    <row r="32" customFormat="false" ht="15" hidden="false" customHeight="false" outlineLevel="0" collapsed="false">
      <c r="A32" s="6" t="s">
        <v>369</v>
      </c>
      <c r="B32" s="6" t="s">
        <v>370</v>
      </c>
      <c r="C32" s="6" t="s">
        <v>23</v>
      </c>
      <c r="D32" s="6" t="s">
        <v>415</v>
      </c>
      <c r="E32" s="6" t="s">
        <v>416</v>
      </c>
      <c r="F32" s="6" t="s">
        <v>25</v>
      </c>
    </row>
    <row r="33" customFormat="false" ht="15" hidden="false" customHeight="false" outlineLevel="0" collapsed="false">
      <c r="A33" s="6" t="s">
        <v>415</v>
      </c>
      <c r="B33" s="6" t="s">
        <v>416</v>
      </c>
      <c r="C33" s="6" t="s">
        <v>25</v>
      </c>
      <c r="D33" s="6" t="s">
        <v>419</v>
      </c>
      <c r="E33" s="6" t="s">
        <v>421</v>
      </c>
      <c r="F33" s="6" t="s">
        <v>26</v>
      </c>
    </row>
    <row r="34" customFormat="false" ht="15" hidden="false" customHeight="false" outlineLevel="0" collapsed="false">
      <c r="A34" s="6" t="s">
        <v>369</v>
      </c>
      <c r="B34" s="6" t="s">
        <v>370</v>
      </c>
      <c r="C34" s="6" t="s">
        <v>23</v>
      </c>
      <c r="D34" s="6" t="s">
        <v>425</v>
      </c>
      <c r="E34" s="6" t="s">
        <v>426</v>
      </c>
      <c r="F34" s="6" t="s">
        <v>26</v>
      </c>
    </row>
    <row r="35" customFormat="false" ht="15" hidden="false" customHeight="false" outlineLevel="0" collapsed="false">
      <c r="A35" s="6" t="s">
        <v>537</v>
      </c>
      <c r="B35" s="6" t="s">
        <v>538</v>
      </c>
      <c r="C35" s="6" t="s">
        <v>24</v>
      </c>
      <c r="D35" s="6" t="s">
        <v>425</v>
      </c>
      <c r="E35" s="6" t="s">
        <v>426</v>
      </c>
      <c r="F35" s="6" t="s">
        <v>26</v>
      </c>
    </row>
    <row r="36" customFormat="false" ht="23.85" hidden="false" customHeight="false" outlineLevel="0" collapsed="false">
      <c r="A36" s="6" t="s">
        <v>212</v>
      </c>
      <c r="B36" s="6" t="s">
        <v>213</v>
      </c>
      <c r="C36" s="6" t="s">
        <v>22</v>
      </c>
      <c r="D36" s="6" t="s">
        <v>220</v>
      </c>
      <c r="E36" s="6" t="s">
        <v>436</v>
      </c>
      <c r="F36" s="6" t="s">
        <v>25</v>
      </c>
    </row>
    <row r="37" customFormat="false" ht="15" hidden="false" customHeight="false" outlineLevel="0" collapsed="false">
      <c r="A37" s="6" t="s">
        <v>220</v>
      </c>
      <c r="B37" s="6" t="s">
        <v>436</v>
      </c>
      <c r="C37" s="6" t="s">
        <v>25</v>
      </c>
      <c r="D37" s="6" t="s">
        <v>443</v>
      </c>
      <c r="E37" s="6" t="s">
        <v>446</v>
      </c>
      <c r="F37" s="6" t="s">
        <v>26</v>
      </c>
    </row>
    <row r="38" customFormat="false" ht="15" hidden="false" customHeight="false" outlineLevel="0" collapsed="false">
      <c r="A38" s="6" t="s">
        <v>110</v>
      </c>
      <c r="B38" s="6" t="s">
        <v>111</v>
      </c>
      <c r="C38" s="6" t="s">
        <v>22</v>
      </c>
      <c r="D38" s="6" t="s">
        <v>454</v>
      </c>
      <c r="E38" s="6" t="s">
        <v>455</v>
      </c>
      <c r="F38" s="6" t="s">
        <v>26</v>
      </c>
    </row>
    <row r="39" customFormat="false" ht="15" hidden="false" customHeight="false" outlineLevel="0" collapsed="false">
      <c r="A39" s="6" t="s">
        <v>454</v>
      </c>
      <c r="B39" s="6" t="s">
        <v>455</v>
      </c>
      <c r="C39" s="6" t="s">
        <v>26</v>
      </c>
      <c r="D39" s="6" t="s">
        <v>461</v>
      </c>
      <c r="E39" s="6" t="s">
        <v>463</v>
      </c>
      <c r="F39" s="6" t="s">
        <v>26</v>
      </c>
    </row>
    <row r="40" customFormat="false" ht="15" hidden="false" customHeight="false" outlineLevel="0" collapsed="false">
      <c r="A40" s="6" t="s">
        <v>90</v>
      </c>
      <c r="B40" s="6" t="s">
        <v>91</v>
      </c>
      <c r="C40" s="6" t="s">
        <v>22</v>
      </c>
      <c r="D40" s="6" t="s">
        <v>470</v>
      </c>
      <c r="E40" s="6" t="s">
        <v>471</v>
      </c>
      <c r="F40" s="6" t="s">
        <v>25</v>
      </c>
    </row>
    <row r="41" customFormat="false" ht="15" hidden="false" customHeight="false" outlineLevel="0" collapsed="false">
      <c r="A41" s="6" t="s">
        <v>470</v>
      </c>
      <c r="B41" s="6" t="s">
        <v>471</v>
      </c>
      <c r="C41" s="6" t="s">
        <v>25</v>
      </c>
      <c r="D41" s="6" t="s">
        <v>484</v>
      </c>
      <c r="E41" s="6" t="s">
        <v>485</v>
      </c>
      <c r="F41" s="6" t="s">
        <v>25</v>
      </c>
    </row>
    <row r="42" customFormat="false" ht="15" hidden="false" customHeight="false" outlineLevel="0" collapsed="false">
      <c r="A42" s="6" t="s">
        <v>470</v>
      </c>
      <c r="B42" s="6" t="s">
        <v>471</v>
      </c>
      <c r="C42" s="6" t="s">
        <v>25</v>
      </c>
      <c r="D42" s="6" t="s">
        <v>492</v>
      </c>
      <c r="E42" s="6" t="s">
        <v>493</v>
      </c>
      <c r="F42" s="6" t="s">
        <v>26</v>
      </c>
    </row>
    <row r="43" customFormat="false" ht="15" hidden="false" customHeight="false" outlineLevel="0" collapsed="false">
      <c r="A43" s="6" t="s">
        <v>265</v>
      </c>
      <c r="B43" s="6" t="s">
        <v>288</v>
      </c>
      <c r="C43" s="6" t="s">
        <v>23</v>
      </c>
      <c r="D43" s="6" t="s">
        <v>497</v>
      </c>
      <c r="E43" s="6" t="s">
        <v>498</v>
      </c>
      <c r="F43" s="6" t="s">
        <v>23</v>
      </c>
    </row>
    <row r="44" customFormat="false" ht="15" hidden="false" customHeight="false" outlineLevel="0" collapsed="false">
      <c r="A44" s="6" t="s">
        <v>497</v>
      </c>
      <c r="B44" s="6" t="s">
        <v>498</v>
      </c>
      <c r="C44" s="6" t="s">
        <v>23</v>
      </c>
      <c r="D44" s="6" t="s">
        <v>509</v>
      </c>
      <c r="E44" s="6" t="s">
        <v>510</v>
      </c>
      <c r="F44" s="6" t="s">
        <v>25</v>
      </c>
    </row>
    <row r="45" customFormat="false" ht="15" hidden="false" customHeight="false" outlineLevel="0" collapsed="false">
      <c r="A45" s="6" t="s">
        <v>509</v>
      </c>
      <c r="B45" s="6" t="s">
        <v>510</v>
      </c>
      <c r="C45" s="6" t="s">
        <v>25</v>
      </c>
      <c r="D45" s="6" t="s">
        <v>519</v>
      </c>
      <c r="E45" s="6" t="s">
        <v>520</v>
      </c>
      <c r="F45" s="6" t="s">
        <v>26</v>
      </c>
    </row>
    <row r="46" customFormat="false" ht="15" hidden="false" customHeight="false" outlineLevel="0" collapsed="false">
      <c r="A46" s="6" t="s">
        <v>509</v>
      </c>
      <c r="B46" s="6" t="s">
        <v>510</v>
      </c>
      <c r="C46" s="6" t="s">
        <v>25</v>
      </c>
      <c r="D46" s="6" t="s">
        <v>530</v>
      </c>
      <c r="E46" s="6" t="s">
        <v>531</v>
      </c>
      <c r="F46" s="6" t="s">
        <v>26</v>
      </c>
    </row>
    <row r="47" customFormat="false" ht="15" hidden="false" customHeight="false" outlineLevel="0" collapsed="false">
      <c r="A47" s="6" t="s">
        <v>497</v>
      </c>
      <c r="B47" s="6" t="s">
        <v>498</v>
      </c>
      <c r="C47" s="6" t="s">
        <v>23</v>
      </c>
      <c r="D47" s="6" t="s">
        <v>537</v>
      </c>
      <c r="E47" s="6" t="s">
        <v>538</v>
      </c>
      <c r="F47" s="6" t="s">
        <v>24</v>
      </c>
    </row>
    <row r="48" customFormat="false" ht="15" hidden="false" customHeight="false" outlineLevel="0" collapsed="false">
      <c r="A48" s="6" t="s">
        <v>497</v>
      </c>
      <c r="B48" s="6" t="s">
        <v>498</v>
      </c>
      <c r="C48" s="6" t="s">
        <v>23</v>
      </c>
      <c r="D48" s="6" t="s">
        <v>547</v>
      </c>
      <c r="E48" s="6" t="s">
        <v>548</v>
      </c>
      <c r="F48" s="6" t="s">
        <v>24</v>
      </c>
    </row>
    <row r="49" customFormat="false" ht="15" hidden="false" customHeight="false" outlineLevel="0" collapsed="false">
      <c r="A49" s="6" t="s">
        <v>509</v>
      </c>
      <c r="B49" s="6" t="s">
        <v>510</v>
      </c>
      <c r="C49" s="6" t="s">
        <v>25</v>
      </c>
      <c r="D49" s="6" t="s">
        <v>556</v>
      </c>
      <c r="E49" s="6" t="s">
        <v>557</v>
      </c>
      <c r="F49" s="6" t="s">
        <v>26</v>
      </c>
    </row>
    <row r="50" customFormat="false" ht="15" hidden="false" customHeight="false" outlineLevel="0" collapsed="false">
      <c r="A50" s="6" t="s">
        <v>265</v>
      </c>
      <c r="B50" s="6" t="s">
        <v>288</v>
      </c>
      <c r="C50" s="6" t="s">
        <v>23</v>
      </c>
      <c r="D50" s="6" t="s">
        <v>564</v>
      </c>
      <c r="E50" s="6" t="s">
        <v>565</v>
      </c>
      <c r="F50" s="6" t="s">
        <v>24</v>
      </c>
    </row>
    <row r="51" customFormat="false" ht="15" hidden="false" customHeight="false" outlineLevel="0" collapsed="false">
      <c r="A51" s="6" t="s">
        <v>564</v>
      </c>
      <c r="B51" s="6" t="s">
        <v>565</v>
      </c>
      <c r="C51" s="6" t="s">
        <v>24</v>
      </c>
      <c r="D51" s="6" t="s">
        <v>577</v>
      </c>
      <c r="E51" s="6" t="s">
        <v>578</v>
      </c>
      <c r="F51" s="6" t="s">
        <v>25</v>
      </c>
    </row>
    <row r="52" customFormat="false" ht="15" hidden="false" customHeight="false" outlineLevel="0" collapsed="false">
      <c r="A52" s="6" t="s">
        <v>564</v>
      </c>
      <c r="B52" s="6" t="s">
        <v>565</v>
      </c>
      <c r="C52" s="6" t="s">
        <v>24</v>
      </c>
      <c r="D52" s="6" t="s">
        <v>586</v>
      </c>
      <c r="E52" s="6" t="s">
        <v>587</v>
      </c>
      <c r="F52" s="6" t="s">
        <v>26</v>
      </c>
    </row>
    <row r="53" customFormat="false" ht="15" hidden="false" customHeight="false" outlineLevel="0" collapsed="false">
      <c r="A53" s="6" t="s">
        <v>564</v>
      </c>
      <c r="B53" s="6" t="s">
        <v>565</v>
      </c>
      <c r="C53" s="6" t="s">
        <v>24</v>
      </c>
      <c r="D53" s="6" t="s">
        <v>597</v>
      </c>
      <c r="E53" s="6" t="s">
        <v>598</v>
      </c>
      <c r="F53" s="6" t="s">
        <v>26</v>
      </c>
    </row>
    <row r="54" customFormat="false" ht="15" hidden="false" customHeight="false" outlineLevel="0" collapsed="false">
      <c r="A54" s="6" t="s">
        <v>564</v>
      </c>
      <c r="B54" s="6" t="s">
        <v>565</v>
      </c>
      <c r="C54" s="6" t="s">
        <v>24</v>
      </c>
      <c r="D54" s="6" t="s">
        <v>392</v>
      </c>
      <c r="E54" s="6" t="s">
        <v>604</v>
      </c>
      <c r="F54" s="6" t="s">
        <v>26</v>
      </c>
    </row>
    <row r="55" customFormat="false" ht="15" hidden="false" customHeight="false" outlineLevel="0" collapsed="false">
      <c r="A55" s="6" t="s">
        <v>564</v>
      </c>
      <c r="B55" s="6" t="s">
        <v>565</v>
      </c>
      <c r="C55" s="6" t="s">
        <v>24</v>
      </c>
      <c r="D55" s="6" t="s">
        <v>612</v>
      </c>
      <c r="E55" s="6" t="s">
        <v>613</v>
      </c>
      <c r="F55" s="6" t="s">
        <v>26</v>
      </c>
    </row>
    <row r="56" customFormat="false" ht="15" hidden="false" customHeight="false" outlineLevel="0" collapsed="false">
      <c r="A56" s="6" t="s">
        <v>564</v>
      </c>
      <c r="B56" s="6" t="s">
        <v>565</v>
      </c>
      <c r="C56" s="6" t="s">
        <v>24</v>
      </c>
      <c r="D56" s="6" t="s">
        <v>621</v>
      </c>
      <c r="E56" s="6" t="s">
        <v>622</v>
      </c>
      <c r="F56" s="6" t="s">
        <v>26</v>
      </c>
    </row>
    <row r="57" customFormat="false" ht="15" hidden="false" customHeight="false" outlineLevel="0" collapsed="false">
      <c r="A57" s="6" t="s">
        <v>638</v>
      </c>
      <c r="B57" s="6" t="s">
        <v>1298</v>
      </c>
      <c r="C57" s="6" t="s">
        <v>23</v>
      </c>
      <c r="D57" s="6" t="s">
        <v>629</v>
      </c>
      <c r="E57" s="6" t="s">
        <v>630</v>
      </c>
      <c r="F57" s="6" t="s">
        <v>26</v>
      </c>
    </row>
    <row r="58" customFormat="false" ht="15" hidden="false" customHeight="false" outlineLevel="0" collapsed="false">
      <c r="A58" s="6" t="s">
        <v>577</v>
      </c>
      <c r="B58" s="6" t="s">
        <v>578</v>
      </c>
      <c r="C58" s="6" t="s">
        <v>25</v>
      </c>
      <c r="D58" s="6" t="s">
        <v>584</v>
      </c>
      <c r="E58" s="6" t="s">
        <v>643</v>
      </c>
      <c r="F58" s="6" t="s">
        <v>26</v>
      </c>
    </row>
    <row r="59" customFormat="false" ht="15" hidden="false" customHeight="false" outlineLevel="0" collapsed="false">
      <c r="A59" s="6" t="s">
        <v>186</v>
      </c>
      <c r="B59" s="6" t="s">
        <v>189</v>
      </c>
      <c r="C59" s="6" t="s">
        <v>25</v>
      </c>
      <c r="D59" s="6" t="s">
        <v>651</v>
      </c>
      <c r="E59" s="6" t="s">
        <v>652</v>
      </c>
      <c r="F59" s="6" t="s">
        <v>26</v>
      </c>
    </row>
    <row r="60" customFormat="false" ht="15" hidden="false" customHeight="false" outlineLevel="0" collapsed="false">
      <c r="A60" s="6" t="s">
        <v>651</v>
      </c>
      <c r="B60" s="6" t="s">
        <v>652</v>
      </c>
      <c r="C60" s="6" t="s">
        <v>26</v>
      </c>
      <c r="D60" s="6" t="s">
        <v>659</v>
      </c>
      <c r="E60" s="6" t="s">
        <v>664</v>
      </c>
      <c r="F60" s="6" t="s">
        <v>25</v>
      </c>
    </row>
    <row r="61" customFormat="false" ht="15" hidden="false" customHeight="false" outlineLevel="0" collapsed="false">
      <c r="A61" s="6" t="s">
        <v>186</v>
      </c>
      <c r="B61" s="6" t="s">
        <v>189</v>
      </c>
      <c r="C61" s="6" t="s">
        <v>25</v>
      </c>
      <c r="D61" s="6" t="s">
        <v>671</v>
      </c>
      <c r="E61" s="6" t="s">
        <v>672</v>
      </c>
      <c r="F61" s="6" t="s">
        <v>26</v>
      </c>
    </row>
    <row r="62" customFormat="false" ht="15" hidden="false" customHeight="false" outlineLevel="0" collapsed="false">
      <c r="A62" s="6" t="s">
        <v>265</v>
      </c>
      <c r="B62" s="6" t="s">
        <v>288</v>
      </c>
      <c r="C62" s="6" t="s">
        <v>23</v>
      </c>
      <c r="D62" s="6" t="s">
        <v>680</v>
      </c>
      <c r="E62" s="6" t="s">
        <v>681</v>
      </c>
      <c r="F62" s="6" t="s">
        <v>24</v>
      </c>
    </row>
    <row r="63" customFormat="false" ht="15" hidden="false" customHeight="false" outlineLevel="0" collapsed="false">
      <c r="A63" s="6" t="s">
        <v>680</v>
      </c>
      <c r="B63" s="6" t="s">
        <v>681</v>
      </c>
      <c r="C63" s="6" t="s">
        <v>24</v>
      </c>
      <c r="D63" s="6" t="s">
        <v>690</v>
      </c>
      <c r="E63" s="6" t="s">
        <v>691</v>
      </c>
      <c r="F63" s="6" t="s">
        <v>25</v>
      </c>
    </row>
    <row r="64" customFormat="false" ht="15" hidden="false" customHeight="false" outlineLevel="0" collapsed="false">
      <c r="A64" s="6" t="s">
        <v>690</v>
      </c>
      <c r="B64" s="6" t="s">
        <v>691</v>
      </c>
      <c r="C64" s="6" t="s">
        <v>25</v>
      </c>
      <c r="D64" s="6" t="s">
        <v>698</v>
      </c>
      <c r="E64" s="6" t="s">
        <v>699</v>
      </c>
      <c r="F64" s="6" t="s">
        <v>26</v>
      </c>
    </row>
    <row r="65" customFormat="false" ht="15" hidden="false" customHeight="false" outlineLevel="0" collapsed="false">
      <c r="A65" s="6" t="s">
        <v>680</v>
      </c>
      <c r="B65" s="6" t="s">
        <v>681</v>
      </c>
      <c r="C65" s="6" t="s">
        <v>24</v>
      </c>
      <c r="D65" s="6" t="s">
        <v>705</v>
      </c>
      <c r="E65" s="6" t="s">
        <v>706</v>
      </c>
      <c r="F65" s="6" t="s">
        <v>25</v>
      </c>
    </row>
    <row r="66" customFormat="false" ht="23.85" hidden="false" customHeight="false" outlineLevel="0" collapsed="false">
      <c r="A66" s="6" t="s">
        <v>705</v>
      </c>
      <c r="B66" s="6" t="s">
        <v>706</v>
      </c>
      <c r="C66" s="6" t="s">
        <v>25</v>
      </c>
      <c r="D66" s="6" t="s">
        <v>712</v>
      </c>
      <c r="E66" s="6" t="s">
        <v>714</v>
      </c>
      <c r="F66" s="6" t="s">
        <v>26</v>
      </c>
    </row>
    <row r="67" customFormat="false" ht="15" hidden="false" customHeight="false" outlineLevel="0" collapsed="false">
      <c r="A67" s="6" t="s">
        <v>186</v>
      </c>
      <c r="B67" s="6" t="s">
        <v>189</v>
      </c>
      <c r="C67" s="6" t="s">
        <v>25</v>
      </c>
      <c r="D67" s="6" t="s">
        <v>721</v>
      </c>
      <c r="E67" s="6" t="s">
        <v>722</v>
      </c>
      <c r="F67" s="6" t="s">
        <v>25</v>
      </c>
    </row>
    <row r="68" customFormat="false" ht="15" hidden="false" customHeight="false" outlineLevel="0" collapsed="false">
      <c r="A68" s="6" t="s">
        <v>690</v>
      </c>
      <c r="B68" s="6" t="s">
        <v>691</v>
      </c>
      <c r="C68" s="6" t="s">
        <v>25</v>
      </c>
      <c r="D68" s="6" t="s">
        <v>730</v>
      </c>
      <c r="E68" s="6" t="s">
        <v>731</v>
      </c>
      <c r="F68" s="6" t="s">
        <v>25</v>
      </c>
    </row>
    <row r="69" customFormat="false" ht="23.85" hidden="false" customHeight="false" outlineLevel="0" collapsed="false">
      <c r="A69" s="6" t="s">
        <v>265</v>
      </c>
      <c r="B69" s="6" t="s">
        <v>288</v>
      </c>
      <c r="C69" s="6" t="s">
        <v>23</v>
      </c>
      <c r="D69" s="6" t="s">
        <v>737</v>
      </c>
      <c r="E69" s="6" t="s">
        <v>738</v>
      </c>
      <c r="F69" s="6" t="s">
        <v>25</v>
      </c>
    </row>
    <row r="70" customFormat="false" ht="23.85" hidden="false" customHeight="false" outlineLevel="0" collapsed="false">
      <c r="A70" s="6" t="s">
        <v>737</v>
      </c>
      <c r="B70" s="6" t="s">
        <v>738</v>
      </c>
      <c r="C70" s="6" t="s">
        <v>25</v>
      </c>
      <c r="D70" s="6" t="s">
        <v>746</v>
      </c>
      <c r="E70" s="6" t="s">
        <v>747</v>
      </c>
      <c r="F70" s="6" t="s">
        <v>26</v>
      </c>
    </row>
    <row r="71" customFormat="false" ht="23.85" hidden="false" customHeight="false" outlineLevel="0" collapsed="false">
      <c r="A71" s="6" t="s">
        <v>737</v>
      </c>
      <c r="B71" s="6" t="s">
        <v>738</v>
      </c>
      <c r="C71" s="6" t="s">
        <v>25</v>
      </c>
      <c r="D71" s="6" t="s">
        <v>753</v>
      </c>
      <c r="E71" s="6" t="s">
        <v>754</v>
      </c>
      <c r="F71" s="6" t="s">
        <v>25</v>
      </c>
    </row>
    <row r="72" customFormat="false" ht="23.85" hidden="false" customHeight="false" outlineLevel="0" collapsed="false">
      <c r="A72" s="6" t="s">
        <v>737</v>
      </c>
      <c r="B72" s="6" t="s">
        <v>738</v>
      </c>
      <c r="C72" s="6" t="s">
        <v>25</v>
      </c>
      <c r="D72" s="6" t="s">
        <v>765</v>
      </c>
      <c r="E72" s="6" t="s">
        <v>766</v>
      </c>
      <c r="F72" s="6" t="s">
        <v>26</v>
      </c>
    </row>
    <row r="73" customFormat="false" ht="15" hidden="false" customHeight="false" outlineLevel="0" collapsed="false">
      <c r="A73" s="6" t="s">
        <v>265</v>
      </c>
      <c r="B73" s="6" t="s">
        <v>288</v>
      </c>
      <c r="C73" s="6" t="s">
        <v>23</v>
      </c>
      <c r="D73" s="6" t="s">
        <v>774</v>
      </c>
      <c r="E73" s="6" t="s">
        <v>775</v>
      </c>
      <c r="F73" s="6" t="s">
        <v>23</v>
      </c>
    </row>
    <row r="74" customFormat="false" ht="15" hidden="false" customHeight="false" outlineLevel="0" collapsed="false">
      <c r="A74" s="6" t="s">
        <v>774</v>
      </c>
      <c r="B74" s="6" t="s">
        <v>775</v>
      </c>
      <c r="C74" s="6" t="s">
        <v>23</v>
      </c>
      <c r="D74" s="6" t="s">
        <v>786</v>
      </c>
      <c r="E74" s="6" t="s">
        <v>787</v>
      </c>
      <c r="F74" s="6" t="s">
        <v>24</v>
      </c>
    </row>
    <row r="75" customFormat="false" ht="15" hidden="false" customHeight="false" outlineLevel="0" collapsed="false">
      <c r="A75" s="6" t="s">
        <v>774</v>
      </c>
      <c r="B75" s="6" t="s">
        <v>775</v>
      </c>
      <c r="C75" s="6" t="s">
        <v>23</v>
      </c>
      <c r="D75" s="6" t="s">
        <v>796</v>
      </c>
      <c r="E75" s="6" t="s">
        <v>797</v>
      </c>
      <c r="F75" s="6" t="s">
        <v>24</v>
      </c>
    </row>
    <row r="76" customFormat="false" ht="15" hidden="false" customHeight="false" outlineLevel="0" collapsed="false">
      <c r="A76" s="6" t="s">
        <v>774</v>
      </c>
      <c r="B76" s="6" t="s">
        <v>775</v>
      </c>
      <c r="C76" s="6" t="s">
        <v>23</v>
      </c>
      <c r="D76" s="6" t="s">
        <v>805</v>
      </c>
      <c r="E76" s="6" t="s">
        <v>806</v>
      </c>
      <c r="F76" s="6" t="s">
        <v>24</v>
      </c>
    </row>
    <row r="77" customFormat="false" ht="15" hidden="false" customHeight="false" outlineLevel="0" collapsed="false">
      <c r="A77" s="6" t="s">
        <v>774</v>
      </c>
      <c r="B77" s="6" t="s">
        <v>775</v>
      </c>
      <c r="C77" s="6" t="s">
        <v>23</v>
      </c>
      <c r="D77" s="6" t="s">
        <v>814</v>
      </c>
      <c r="E77" s="6" t="s">
        <v>815</v>
      </c>
      <c r="F77" s="6" t="s">
        <v>25</v>
      </c>
    </row>
    <row r="78" customFormat="false" ht="15" hidden="false" customHeight="false" outlineLevel="0" collapsed="false">
      <c r="A78" s="6" t="s">
        <v>774</v>
      </c>
      <c r="B78" s="6" t="s">
        <v>775</v>
      </c>
      <c r="C78" s="6" t="s">
        <v>23</v>
      </c>
      <c r="D78" s="6" t="s">
        <v>823</v>
      </c>
      <c r="E78" s="6" t="s">
        <v>824</v>
      </c>
      <c r="F78" s="6" t="s">
        <v>25</v>
      </c>
    </row>
    <row r="79" customFormat="false" ht="15" hidden="false" customHeight="false" outlineLevel="0" collapsed="false">
      <c r="A79" s="6" t="s">
        <v>814</v>
      </c>
      <c r="B79" s="6" t="s">
        <v>815</v>
      </c>
      <c r="C79" s="6" t="s">
        <v>25</v>
      </c>
      <c r="D79" s="6" t="s">
        <v>821</v>
      </c>
      <c r="E79" s="6" t="s">
        <v>831</v>
      </c>
      <c r="F79" s="6" t="s">
        <v>26</v>
      </c>
    </row>
    <row r="80" customFormat="false" ht="15" hidden="false" customHeight="false" outlineLevel="0" collapsed="false">
      <c r="A80" s="6" t="s">
        <v>796</v>
      </c>
      <c r="B80" s="6" t="s">
        <v>797</v>
      </c>
      <c r="C80" s="6" t="s">
        <v>24</v>
      </c>
      <c r="D80" s="6" t="s">
        <v>834</v>
      </c>
      <c r="E80" s="6" t="s">
        <v>835</v>
      </c>
      <c r="F80" s="6" t="s">
        <v>26</v>
      </c>
    </row>
    <row r="81" customFormat="false" ht="15" hidden="false" customHeight="false" outlineLevel="0" collapsed="false">
      <c r="A81" s="6" t="s">
        <v>805</v>
      </c>
      <c r="B81" s="6" t="s">
        <v>806</v>
      </c>
      <c r="C81" s="6" t="s">
        <v>24</v>
      </c>
      <c r="D81" s="6" t="s">
        <v>812</v>
      </c>
      <c r="E81" s="6" t="s">
        <v>840</v>
      </c>
      <c r="F81" s="6" t="s">
        <v>26</v>
      </c>
    </row>
    <row r="82" customFormat="false" ht="15" hidden="false" customHeight="false" outlineLevel="0" collapsed="false">
      <c r="A82" s="6" t="s">
        <v>823</v>
      </c>
      <c r="B82" s="6" t="s">
        <v>824</v>
      </c>
      <c r="C82" s="6" t="s">
        <v>25</v>
      </c>
      <c r="D82" s="6" t="s">
        <v>829</v>
      </c>
      <c r="E82" s="6" t="s">
        <v>848</v>
      </c>
      <c r="F82" s="6" t="s">
        <v>26</v>
      </c>
    </row>
    <row r="83" customFormat="false" ht="15" hidden="false" customHeight="false" outlineLevel="0" collapsed="false">
      <c r="A83" s="6" t="s">
        <v>796</v>
      </c>
      <c r="B83" s="6" t="s">
        <v>797</v>
      </c>
      <c r="C83" s="6" t="s">
        <v>24</v>
      </c>
      <c r="D83" s="6" t="s">
        <v>853</v>
      </c>
      <c r="E83" s="6" t="s">
        <v>854</v>
      </c>
      <c r="F83" s="6" t="s">
        <v>26</v>
      </c>
    </row>
    <row r="84" customFormat="false" ht="15" hidden="false" customHeight="false" outlineLevel="0" collapsed="false">
      <c r="A84" s="6" t="s">
        <v>265</v>
      </c>
      <c r="B84" s="6" t="s">
        <v>288</v>
      </c>
      <c r="C84" s="6" t="s">
        <v>23</v>
      </c>
      <c r="D84" s="6" t="s">
        <v>858</v>
      </c>
      <c r="E84" s="6" t="s">
        <v>859</v>
      </c>
      <c r="F84" s="6" t="s">
        <v>23</v>
      </c>
    </row>
    <row r="85" customFormat="false" ht="15" hidden="false" customHeight="false" outlineLevel="0" collapsed="false">
      <c r="A85" s="6" t="s">
        <v>858</v>
      </c>
      <c r="B85" s="6" t="s">
        <v>859</v>
      </c>
      <c r="C85" s="6" t="s">
        <v>23</v>
      </c>
      <c r="D85" s="6" t="s">
        <v>865</v>
      </c>
      <c r="E85" s="6" t="s">
        <v>867</v>
      </c>
      <c r="F85" s="6" t="s">
        <v>25</v>
      </c>
    </row>
    <row r="86" customFormat="false" ht="15" hidden="false" customHeight="false" outlineLevel="0" collapsed="false">
      <c r="A86" s="6" t="s">
        <v>865</v>
      </c>
      <c r="B86" s="6" t="s">
        <v>867</v>
      </c>
      <c r="C86" s="6" t="s">
        <v>25</v>
      </c>
      <c r="D86" s="6" t="s">
        <v>873</v>
      </c>
      <c r="E86" s="6" t="s">
        <v>875</v>
      </c>
      <c r="F86" s="6" t="s">
        <v>26</v>
      </c>
    </row>
    <row r="87" customFormat="false" ht="15" hidden="false" customHeight="false" outlineLevel="0" collapsed="false">
      <c r="A87" s="6" t="s">
        <v>265</v>
      </c>
      <c r="B87" s="6" t="s">
        <v>288</v>
      </c>
      <c r="C87" s="6" t="s">
        <v>23</v>
      </c>
      <c r="D87" s="6" t="s">
        <v>883</v>
      </c>
      <c r="E87" s="6" t="s">
        <v>884</v>
      </c>
      <c r="F87" s="6" t="s">
        <v>25</v>
      </c>
    </row>
    <row r="88" customFormat="false" ht="15" hidden="false" customHeight="false" outlineLevel="0" collapsed="false">
      <c r="A88" s="6" t="s">
        <v>883</v>
      </c>
      <c r="B88" s="6" t="s">
        <v>884</v>
      </c>
      <c r="C88" s="6" t="s">
        <v>25</v>
      </c>
      <c r="D88" s="6" t="s">
        <v>895</v>
      </c>
      <c r="E88" s="6" t="s">
        <v>896</v>
      </c>
      <c r="F88" s="6" t="s">
        <v>26</v>
      </c>
    </row>
    <row r="89" customFormat="false" ht="15" hidden="false" customHeight="false" outlineLevel="0" collapsed="false">
      <c r="A89" s="6" t="s">
        <v>883</v>
      </c>
      <c r="B89" s="6" t="s">
        <v>884</v>
      </c>
      <c r="C89" s="6" t="s">
        <v>25</v>
      </c>
      <c r="D89" s="6" t="s">
        <v>903</v>
      </c>
      <c r="E89" s="6" t="s">
        <v>904</v>
      </c>
      <c r="F89" s="6" t="s">
        <v>26</v>
      </c>
    </row>
    <row r="90" customFormat="false" ht="15" hidden="false" customHeight="false" outlineLevel="0" collapsed="false">
      <c r="A90" s="6" t="s">
        <v>883</v>
      </c>
      <c r="B90" s="6" t="s">
        <v>884</v>
      </c>
      <c r="C90" s="6" t="s">
        <v>25</v>
      </c>
      <c r="D90" s="6" t="s">
        <v>910</v>
      </c>
      <c r="E90" s="6" t="s">
        <v>911</v>
      </c>
      <c r="F90" s="6" t="s">
        <v>25</v>
      </c>
    </row>
    <row r="91" customFormat="false" ht="15" hidden="false" customHeight="false" outlineLevel="0" collapsed="false">
      <c r="A91" s="6" t="s">
        <v>265</v>
      </c>
      <c r="B91" s="6" t="s">
        <v>288</v>
      </c>
      <c r="C91" s="6" t="s">
        <v>23</v>
      </c>
      <c r="D91" s="6" t="s">
        <v>919</v>
      </c>
      <c r="E91" s="6" t="s">
        <v>920</v>
      </c>
      <c r="F91" s="6" t="s">
        <v>23</v>
      </c>
    </row>
    <row r="92" customFormat="false" ht="15" hidden="false" customHeight="false" outlineLevel="0" collapsed="false">
      <c r="A92" s="6" t="s">
        <v>919</v>
      </c>
      <c r="B92" s="6" t="s">
        <v>920</v>
      </c>
      <c r="C92" s="6" t="s">
        <v>23</v>
      </c>
      <c r="D92" s="6" t="s">
        <v>931</v>
      </c>
      <c r="E92" s="6" t="s">
        <v>932</v>
      </c>
      <c r="F92" s="6" t="s">
        <v>24</v>
      </c>
    </row>
    <row r="93" customFormat="false" ht="15" hidden="false" customHeight="false" outlineLevel="0" collapsed="false">
      <c r="A93" s="6" t="s">
        <v>919</v>
      </c>
      <c r="B93" s="6" t="s">
        <v>920</v>
      </c>
      <c r="C93" s="6" t="s">
        <v>23</v>
      </c>
      <c r="D93" s="6" t="s">
        <v>937</v>
      </c>
      <c r="E93" s="6" t="s">
        <v>938</v>
      </c>
      <c r="F93" s="6" t="s">
        <v>24</v>
      </c>
    </row>
    <row r="94" customFormat="false" ht="15" hidden="false" customHeight="false" outlineLevel="0" collapsed="false">
      <c r="A94" s="6" t="s">
        <v>919</v>
      </c>
      <c r="B94" s="6" t="s">
        <v>920</v>
      </c>
      <c r="C94" s="6" t="s">
        <v>23</v>
      </c>
      <c r="D94" s="6" t="s">
        <v>945</v>
      </c>
      <c r="E94" s="6" t="s">
        <v>946</v>
      </c>
      <c r="F94" s="6" t="s">
        <v>24</v>
      </c>
    </row>
    <row r="95" customFormat="false" ht="15" hidden="false" customHeight="false" outlineLevel="0" collapsed="false">
      <c r="A95" s="6" t="s">
        <v>945</v>
      </c>
      <c r="B95" s="6" t="s">
        <v>946</v>
      </c>
      <c r="C95" s="6" t="s">
        <v>24</v>
      </c>
      <c r="D95" s="6" t="s">
        <v>952</v>
      </c>
      <c r="E95" s="6" t="s">
        <v>956</v>
      </c>
      <c r="F95" s="6" t="s">
        <v>25</v>
      </c>
    </row>
    <row r="96" customFormat="false" ht="15" hidden="false" customHeight="false" outlineLevel="0" collapsed="false">
      <c r="A96" s="6" t="s">
        <v>952</v>
      </c>
      <c r="B96" s="6" t="s">
        <v>956</v>
      </c>
      <c r="C96" s="6" t="s">
        <v>25</v>
      </c>
      <c r="D96" s="6" t="s">
        <v>961</v>
      </c>
      <c r="E96" s="6" t="s">
        <v>963</v>
      </c>
      <c r="F96" s="6" t="s">
        <v>26</v>
      </c>
    </row>
    <row r="97" customFormat="false" ht="15" hidden="false" customHeight="false" outlineLevel="0" collapsed="false">
      <c r="A97" s="6" t="s">
        <v>919</v>
      </c>
      <c r="B97" s="6" t="s">
        <v>920</v>
      </c>
      <c r="C97" s="6" t="s">
        <v>23</v>
      </c>
      <c r="D97" s="6" t="s">
        <v>969</v>
      </c>
      <c r="E97" s="6" t="s">
        <v>970</v>
      </c>
      <c r="F97" s="6" t="s">
        <v>24</v>
      </c>
    </row>
    <row r="98" customFormat="false" ht="15" hidden="false" customHeight="false" outlineLevel="0" collapsed="false">
      <c r="A98" s="6" t="s">
        <v>919</v>
      </c>
      <c r="B98" s="6" t="s">
        <v>920</v>
      </c>
      <c r="C98" s="6" t="s">
        <v>23</v>
      </c>
      <c r="D98" s="6" t="s">
        <v>977</v>
      </c>
      <c r="E98" s="6" t="s">
        <v>978</v>
      </c>
      <c r="F98" s="6" t="s">
        <v>24</v>
      </c>
    </row>
    <row r="99" customFormat="false" ht="15" hidden="false" customHeight="false" outlineLevel="0" collapsed="false">
      <c r="A99" s="6" t="s">
        <v>308</v>
      </c>
      <c r="B99" s="6" t="s">
        <v>309</v>
      </c>
      <c r="C99" s="6" t="s">
        <v>23</v>
      </c>
      <c r="D99" s="6" t="s">
        <v>984</v>
      </c>
      <c r="E99" s="6" t="s">
        <v>985</v>
      </c>
      <c r="F99" s="6" t="s">
        <v>24</v>
      </c>
    </row>
    <row r="100" customFormat="false" ht="15" hidden="false" customHeight="false" outlineLevel="0" collapsed="false">
      <c r="A100" s="6" t="s">
        <v>265</v>
      </c>
      <c r="B100" s="6" t="s">
        <v>288</v>
      </c>
      <c r="C100" s="6" t="s">
        <v>23</v>
      </c>
      <c r="D100" s="6" t="s">
        <v>993</v>
      </c>
      <c r="E100" s="6" t="s">
        <v>994</v>
      </c>
      <c r="F100" s="6" t="s">
        <v>24</v>
      </c>
    </row>
    <row r="101" customFormat="false" ht="15" hidden="false" customHeight="false" outlineLevel="0" collapsed="false">
      <c r="A101" s="6" t="s">
        <v>265</v>
      </c>
      <c r="B101" s="6" t="s">
        <v>288</v>
      </c>
      <c r="C101" s="6" t="s">
        <v>23</v>
      </c>
      <c r="D101" s="6" t="s">
        <v>1003</v>
      </c>
      <c r="E101" s="6" t="s">
        <v>1004</v>
      </c>
      <c r="F101" s="6" t="s">
        <v>25</v>
      </c>
    </row>
    <row r="102" customFormat="false" ht="15" hidden="false" customHeight="false" outlineLevel="0" collapsed="false">
      <c r="A102" s="6" t="s">
        <v>1003</v>
      </c>
      <c r="B102" s="6" t="s">
        <v>1004</v>
      </c>
      <c r="C102" s="6" t="s">
        <v>25</v>
      </c>
      <c r="D102" s="6" t="s">
        <v>1010</v>
      </c>
      <c r="E102" s="6" t="s">
        <v>1013</v>
      </c>
      <c r="F102" s="6" t="s">
        <v>26</v>
      </c>
    </row>
    <row r="103" customFormat="false" ht="15" hidden="false" customHeight="false" outlineLevel="0" collapsed="false">
      <c r="A103" s="6" t="s">
        <v>680</v>
      </c>
      <c r="B103" s="6" t="s">
        <v>681</v>
      </c>
      <c r="C103" s="6" t="s">
        <v>24</v>
      </c>
      <c r="D103" s="6" t="s">
        <v>1017</v>
      </c>
      <c r="E103" s="6" t="s">
        <v>1018</v>
      </c>
      <c r="F103" s="6" t="s">
        <v>25</v>
      </c>
    </row>
    <row r="104" customFormat="false" ht="15" hidden="false" customHeight="false" outlineLevel="0" collapsed="false">
      <c r="A104" s="6" t="s">
        <v>265</v>
      </c>
      <c r="B104" s="6" t="s">
        <v>288</v>
      </c>
      <c r="C104" s="6" t="s">
        <v>23</v>
      </c>
      <c r="D104" s="6" t="s">
        <v>1025</v>
      </c>
      <c r="E104" s="6" t="s">
        <v>1026</v>
      </c>
      <c r="F104" s="6" t="s">
        <v>24</v>
      </c>
    </row>
    <row r="105" customFormat="false" ht="15" hidden="false" customHeight="false" outlineLevel="0" collapsed="false">
      <c r="A105" s="6" t="s">
        <v>265</v>
      </c>
      <c r="B105" s="6" t="s">
        <v>288</v>
      </c>
      <c r="C105" s="6" t="s">
        <v>23</v>
      </c>
      <c r="D105" s="6" t="s">
        <v>1036</v>
      </c>
      <c r="E105" s="6" t="s">
        <v>1037</v>
      </c>
      <c r="F105" s="6" t="s">
        <v>24</v>
      </c>
    </row>
    <row r="106" customFormat="false" ht="15" hidden="false" customHeight="false" outlineLevel="0" collapsed="false">
      <c r="A106" s="6" t="s">
        <v>1036</v>
      </c>
      <c r="B106" s="6" t="s">
        <v>1037</v>
      </c>
      <c r="C106" s="6" t="s">
        <v>24</v>
      </c>
      <c r="D106" s="6" t="s">
        <v>1043</v>
      </c>
      <c r="E106" s="6" t="s">
        <v>1045</v>
      </c>
      <c r="F106" s="6" t="s">
        <v>26</v>
      </c>
    </row>
    <row r="107" customFormat="false" ht="15" hidden="false" customHeight="false" outlineLevel="0" collapsed="false">
      <c r="A107" s="6" t="s">
        <v>265</v>
      </c>
      <c r="B107" s="6" t="s">
        <v>288</v>
      </c>
      <c r="C107" s="6" t="s">
        <v>23</v>
      </c>
      <c r="D107" s="6" t="s">
        <v>1052</v>
      </c>
      <c r="E107" s="6" t="s">
        <v>1053</v>
      </c>
      <c r="F107" s="6" t="s">
        <v>24</v>
      </c>
    </row>
    <row r="108" customFormat="false" ht="15" hidden="false" customHeight="false" outlineLevel="0" collapsed="false">
      <c r="A108" s="6" t="s">
        <v>497</v>
      </c>
      <c r="B108" s="6" t="s">
        <v>498</v>
      </c>
      <c r="C108" s="6" t="s">
        <v>23</v>
      </c>
      <c r="D108" s="6" t="s">
        <v>1061</v>
      </c>
      <c r="E108" s="6" t="s">
        <v>1062</v>
      </c>
      <c r="F108" s="6" t="s">
        <v>24</v>
      </c>
    </row>
    <row r="109" customFormat="false" ht="15" hidden="false" customHeight="false" outlineLevel="0" collapsed="false">
      <c r="A109" s="6" t="s">
        <v>265</v>
      </c>
      <c r="B109" s="6" t="s">
        <v>288</v>
      </c>
      <c r="C109" s="6" t="s">
        <v>23</v>
      </c>
      <c r="D109" s="6" t="s">
        <v>1070</v>
      </c>
      <c r="E109" s="6" t="s">
        <v>1071</v>
      </c>
      <c r="F109" s="6" t="s">
        <v>24</v>
      </c>
    </row>
    <row r="110" customFormat="false" ht="15" hidden="false" customHeight="false" outlineLevel="0" collapsed="false">
      <c r="A110" s="6" t="s">
        <v>265</v>
      </c>
      <c r="B110" s="6" t="s">
        <v>288</v>
      </c>
      <c r="C110" s="6" t="s">
        <v>23</v>
      </c>
      <c r="D110" s="6" t="s">
        <v>1079</v>
      </c>
      <c r="E110" s="6" t="s">
        <v>1080</v>
      </c>
      <c r="F110" s="6" t="s">
        <v>24</v>
      </c>
    </row>
    <row r="111" customFormat="false" ht="15" hidden="false" customHeight="false" outlineLevel="0" collapsed="false">
      <c r="A111" s="6" t="s">
        <v>1079</v>
      </c>
      <c r="B111" s="6" t="s">
        <v>1080</v>
      </c>
      <c r="C111" s="6" t="s">
        <v>24</v>
      </c>
      <c r="D111" s="6" t="s">
        <v>1087</v>
      </c>
      <c r="E111" s="6" t="s">
        <v>1089</v>
      </c>
      <c r="F111" s="6" t="s">
        <v>25</v>
      </c>
    </row>
    <row r="112" customFormat="false" ht="15" hidden="false" customHeight="false" outlineLevel="0" collapsed="false">
      <c r="A112" s="6" t="s">
        <v>1087</v>
      </c>
      <c r="B112" s="6" t="s">
        <v>1089</v>
      </c>
      <c r="C112" s="6" t="s">
        <v>25</v>
      </c>
      <c r="D112" s="6" t="s">
        <v>1094</v>
      </c>
      <c r="E112" s="6" t="s">
        <v>1096</v>
      </c>
      <c r="F112" s="6" t="s">
        <v>26</v>
      </c>
    </row>
    <row r="113" customFormat="false" ht="15" hidden="false" customHeight="false" outlineLevel="0" collapsed="false">
      <c r="A113" s="6" t="s">
        <v>638</v>
      </c>
      <c r="B113" s="6" t="s">
        <v>1298</v>
      </c>
      <c r="C113" s="6" t="s">
        <v>23</v>
      </c>
      <c r="D113" s="6" t="s">
        <v>1102</v>
      </c>
      <c r="E113" s="6" t="s">
        <v>1103</v>
      </c>
      <c r="F113" s="6" t="s">
        <v>24</v>
      </c>
    </row>
    <row r="114" customFormat="false" ht="15" hidden="false" customHeight="false" outlineLevel="0" collapsed="false">
      <c r="A114" s="6" t="s">
        <v>265</v>
      </c>
      <c r="B114" s="6" t="s">
        <v>288</v>
      </c>
      <c r="C114" s="6" t="s">
        <v>23</v>
      </c>
      <c r="D114" s="6" t="s">
        <v>1110</v>
      </c>
      <c r="E114" s="6" t="s">
        <v>1111</v>
      </c>
      <c r="F114" s="6" t="s">
        <v>24</v>
      </c>
    </row>
    <row r="115" customFormat="false" ht="15" hidden="false" customHeight="false" outlineLevel="0" collapsed="false">
      <c r="A115" s="6" t="s">
        <v>1110</v>
      </c>
      <c r="B115" s="6" t="s">
        <v>1111</v>
      </c>
      <c r="C115" s="6" t="s">
        <v>24</v>
      </c>
      <c r="D115" s="6" t="s">
        <v>1123</v>
      </c>
      <c r="E115" s="6" t="s">
        <v>1124</v>
      </c>
      <c r="F115" s="6" t="s">
        <v>25</v>
      </c>
    </row>
    <row r="116" customFormat="false" ht="15" hidden="false" customHeight="false" outlineLevel="0" collapsed="false">
      <c r="A116" s="6" t="s">
        <v>1110</v>
      </c>
      <c r="B116" s="6" t="s">
        <v>1111</v>
      </c>
      <c r="C116" s="6" t="s">
        <v>24</v>
      </c>
      <c r="D116" s="6" t="s">
        <v>1131</v>
      </c>
      <c r="E116" s="6" t="s">
        <v>1132</v>
      </c>
      <c r="F116" s="6" t="s">
        <v>26</v>
      </c>
    </row>
    <row r="117" customFormat="false" ht="23.85" hidden="false" customHeight="false" outlineLevel="0" collapsed="false">
      <c r="A117" s="6" t="s">
        <v>1110</v>
      </c>
      <c r="B117" s="6" t="s">
        <v>1111</v>
      </c>
      <c r="C117" s="6" t="s">
        <v>24</v>
      </c>
      <c r="D117" s="6" t="s">
        <v>1139</v>
      </c>
      <c r="E117" s="6" t="s">
        <v>1140</v>
      </c>
      <c r="F117" s="6" t="s">
        <v>25</v>
      </c>
    </row>
    <row r="118" customFormat="false" ht="23.85" hidden="false" customHeight="false" outlineLevel="0" collapsed="false">
      <c r="A118" s="6" t="s">
        <v>537</v>
      </c>
      <c r="B118" s="6" t="s">
        <v>538</v>
      </c>
      <c r="C118" s="6" t="s">
        <v>24</v>
      </c>
      <c r="D118" s="6" t="s">
        <v>1139</v>
      </c>
      <c r="E118" s="6" t="s">
        <v>1140</v>
      </c>
      <c r="F118" s="6" t="s">
        <v>25</v>
      </c>
    </row>
    <row r="119" customFormat="false" ht="15" hidden="false" customHeight="false" outlineLevel="0" collapsed="false">
      <c r="A119" s="6" t="s">
        <v>1110</v>
      </c>
      <c r="B119" s="6" t="s">
        <v>1111</v>
      </c>
      <c r="C119" s="6" t="s">
        <v>24</v>
      </c>
      <c r="D119" s="6" t="s">
        <v>1149</v>
      </c>
      <c r="E119" s="6" t="s">
        <v>1150</v>
      </c>
      <c r="F119" s="6" t="s">
        <v>25</v>
      </c>
    </row>
    <row r="120" customFormat="false" ht="15" hidden="false" customHeight="false" outlineLevel="0" collapsed="false">
      <c r="A120" s="6" t="s">
        <v>1164</v>
      </c>
      <c r="B120" s="6" t="s">
        <v>1181</v>
      </c>
      <c r="C120" s="6" t="s">
        <v>25</v>
      </c>
      <c r="D120" s="6" t="s">
        <v>1159</v>
      </c>
      <c r="E120" s="6" t="s">
        <v>1160</v>
      </c>
      <c r="F120" s="6" t="s">
        <v>24</v>
      </c>
    </row>
    <row r="121" customFormat="false" ht="15" hidden="false" customHeight="false" outlineLevel="0" collapsed="false">
      <c r="A121" s="6" t="s">
        <v>1110</v>
      </c>
      <c r="B121" s="6" t="s">
        <v>1111</v>
      </c>
      <c r="C121" s="6" t="s">
        <v>24</v>
      </c>
      <c r="D121" s="6" t="s">
        <v>1167</v>
      </c>
      <c r="E121" s="6" t="s">
        <v>1168</v>
      </c>
      <c r="F121" s="6" t="s">
        <v>26</v>
      </c>
    </row>
    <row r="122" customFormat="false" ht="15" hidden="false" customHeight="false" outlineLevel="0" collapsed="false">
      <c r="A122" s="6" t="s">
        <v>1110</v>
      </c>
      <c r="B122" s="6" t="s">
        <v>1111</v>
      </c>
      <c r="C122" s="6" t="s">
        <v>24</v>
      </c>
      <c r="D122" s="6" t="s">
        <v>1174</v>
      </c>
      <c r="E122" s="6" t="s">
        <v>1175</v>
      </c>
      <c r="F122" s="6" t="s">
        <v>25</v>
      </c>
    </row>
    <row r="123" customFormat="false" ht="15" hidden="false" customHeight="false" outlineLevel="0" collapsed="false">
      <c r="A123" s="6" t="s">
        <v>265</v>
      </c>
      <c r="B123" s="6" t="s">
        <v>288</v>
      </c>
      <c r="C123" s="6" t="s">
        <v>23</v>
      </c>
      <c r="D123" s="6" t="s">
        <v>1164</v>
      </c>
      <c r="E123" s="6" t="s">
        <v>1181</v>
      </c>
      <c r="F123" s="6" t="s">
        <v>25</v>
      </c>
    </row>
    <row r="124" customFormat="false" ht="15" hidden="false" customHeight="false" outlineLevel="0" collapsed="false">
      <c r="A124" s="6" t="s">
        <v>1164</v>
      </c>
      <c r="B124" s="6" t="s">
        <v>1181</v>
      </c>
      <c r="C124" s="6" t="s">
        <v>25</v>
      </c>
      <c r="D124" s="6" t="s">
        <v>1193</v>
      </c>
      <c r="E124" s="6" t="s">
        <v>1194</v>
      </c>
      <c r="F124" s="6" t="s">
        <v>25</v>
      </c>
    </row>
    <row r="125" customFormat="false" ht="15" hidden="false" customHeight="false" outlineLevel="0" collapsed="false">
      <c r="A125" s="6" t="s">
        <v>1193</v>
      </c>
      <c r="B125" s="6" t="s">
        <v>1194</v>
      </c>
      <c r="C125" s="6" t="s">
        <v>25</v>
      </c>
      <c r="D125" s="6" t="s">
        <v>1204</v>
      </c>
      <c r="E125" s="6" t="s">
        <v>1205</v>
      </c>
      <c r="F125" s="6" t="s">
        <v>25</v>
      </c>
    </row>
    <row r="126" customFormat="false" ht="15" hidden="false" customHeight="false" outlineLevel="0" collapsed="false">
      <c r="A126" s="6" t="s">
        <v>1193</v>
      </c>
      <c r="B126" s="6" t="s">
        <v>1194</v>
      </c>
      <c r="C126" s="6" t="s">
        <v>25</v>
      </c>
      <c r="D126" s="6" t="s">
        <v>1214</v>
      </c>
      <c r="E126" s="6" t="s">
        <v>1215</v>
      </c>
      <c r="F126" s="6" t="s">
        <v>25</v>
      </c>
    </row>
    <row r="127" customFormat="false" ht="15" hidden="false" customHeight="false" outlineLevel="0" collapsed="false">
      <c r="A127" s="6" t="s">
        <v>1193</v>
      </c>
      <c r="B127" s="6" t="s">
        <v>1194</v>
      </c>
      <c r="C127" s="6" t="s">
        <v>25</v>
      </c>
      <c r="D127" s="6" t="s">
        <v>1220</v>
      </c>
      <c r="E127" s="6" t="s">
        <v>1221</v>
      </c>
      <c r="F127" s="6" t="s">
        <v>25</v>
      </c>
    </row>
    <row r="128" customFormat="false" ht="15" hidden="false" customHeight="false" outlineLevel="0" collapsed="false">
      <c r="A128" s="6" t="s">
        <v>369</v>
      </c>
      <c r="B128" s="6" t="s">
        <v>370</v>
      </c>
      <c r="C128" s="6" t="s">
        <v>23</v>
      </c>
      <c r="D128" s="6" t="s">
        <v>1220</v>
      </c>
      <c r="E128" s="6" t="s">
        <v>1221</v>
      </c>
      <c r="F128" s="6" t="s">
        <v>25</v>
      </c>
    </row>
    <row r="129" customFormat="false" ht="15" hidden="false" customHeight="false" outlineLevel="0" collapsed="false">
      <c r="A129" s="6" t="s">
        <v>1193</v>
      </c>
      <c r="B129" s="6" t="s">
        <v>1194</v>
      </c>
      <c r="C129" s="6" t="s">
        <v>25</v>
      </c>
      <c r="D129" s="6" t="s">
        <v>1230</v>
      </c>
      <c r="E129" s="6" t="s">
        <v>1231</v>
      </c>
      <c r="F129" s="6" t="s">
        <v>25</v>
      </c>
    </row>
    <row r="130" customFormat="false" ht="15" hidden="false" customHeight="false" outlineLevel="0" collapsed="false">
      <c r="A130" s="6" t="s">
        <v>1193</v>
      </c>
      <c r="B130" s="6" t="s">
        <v>1194</v>
      </c>
      <c r="C130" s="6" t="s">
        <v>25</v>
      </c>
      <c r="D130" s="6" t="s">
        <v>1235</v>
      </c>
      <c r="E130" s="6" t="s">
        <v>1236</v>
      </c>
      <c r="F130" s="6" t="s">
        <v>26</v>
      </c>
    </row>
    <row r="131" customFormat="false" ht="15" hidden="false" customHeight="false" outlineLevel="0" collapsed="false">
      <c r="A131" s="6" t="s">
        <v>1193</v>
      </c>
      <c r="B131" s="6" t="s">
        <v>1194</v>
      </c>
      <c r="C131" s="6" t="s">
        <v>25</v>
      </c>
      <c r="D131" s="6" t="s">
        <v>1243</v>
      </c>
      <c r="E131" s="6" t="s">
        <v>1244</v>
      </c>
      <c r="F131" s="6" t="s">
        <v>26</v>
      </c>
    </row>
    <row r="132" customFormat="false" ht="15" hidden="false" customHeight="false" outlineLevel="0" collapsed="false">
      <c r="A132" s="6" t="s">
        <v>1164</v>
      </c>
      <c r="B132" s="6" t="s">
        <v>1181</v>
      </c>
      <c r="C132" s="6" t="s">
        <v>25</v>
      </c>
      <c r="D132" s="6" t="s">
        <v>1191</v>
      </c>
      <c r="E132" s="6" t="s">
        <v>1251</v>
      </c>
      <c r="F132" s="6" t="s">
        <v>26</v>
      </c>
    </row>
    <row r="133" customFormat="false" ht="15" hidden="false" customHeight="false" outlineLevel="0" collapsed="false">
      <c r="A133" s="6" t="s">
        <v>1164</v>
      </c>
      <c r="B133" s="6" t="s">
        <v>1181</v>
      </c>
      <c r="C133" s="6" t="s">
        <v>25</v>
      </c>
      <c r="D133" s="6" t="s">
        <v>1258</v>
      </c>
      <c r="E133" s="6" t="s">
        <v>1259</v>
      </c>
      <c r="F133" s="6" t="s">
        <v>25</v>
      </c>
    </row>
    <row r="134" customFormat="false" ht="15" hidden="false" customHeight="false" outlineLevel="0" collapsed="false">
      <c r="A134" s="6" t="s">
        <v>1258</v>
      </c>
      <c r="B134" s="6" t="s">
        <v>1259</v>
      </c>
      <c r="C134" s="6" t="s">
        <v>25</v>
      </c>
      <c r="D134" s="6" t="s">
        <v>1266</v>
      </c>
      <c r="E134" s="6" t="s">
        <v>1268</v>
      </c>
      <c r="F134" s="6" t="s">
        <v>26</v>
      </c>
    </row>
    <row r="135" customFormat="false" ht="15" hidden="false" customHeight="false" outlineLevel="0" collapsed="false">
      <c r="A135" s="6" t="s">
        <v>1193</v>
      </c>
      <c r="B135" s="6" t="s">
        <v>1194</v>
      </c>
      <c r="C135" s="6" t="s">
        <v>25</v>
      </c>
      <c r="D135" s="6" t="s">
        <v>1273</v>
      </c>
      <c r="E135" s="6" t="s">
        <v>1274</v>
      </c>
      <c r="F135" s="6" t="s">
        <v>26</v>
      </c>
    </row>
    <row r="136" customFormat="false" ht="15" hidden="false" customHeight="false" outlineLevel="0" collapsed="false">
      <c r="A136" s="6" t="s">
        <v>1164</v>
      </c>
      <c r="B136" s="6" t="s">
        <v>1181</v>
      </c>
      <c r="C136" s="6" t="s">
        <v>25</v>
      </c>
      <c r="D136" s="6" t="s">
        <v>1281</v>
      </c>
      <c r="E136" s="6" t="s">
        <v>1282</v>
      </c>
      <c r="F136" s="6" t="s">
        <v>25</v>
      </c>
    </row>
    <row r="137" customFormat="false" ht="15" hidden="false" customHeight="false" outlineLevel="0" collapsed="false">
      <c r="A137" s="6" t="s">
        <v>1281</v>
      </c>
      <c r="B137" s="6" t="s">
        <v>1282</v>
      </c>
      <c r="C137" s="6" t="s">
        <v>25</v>
      </c>
      <c r="D137" s="6" t="s">
        <v>1289</v>
      </c>
      <c r="E137" s="6" t="s">
        <v>1293</v>
      </c>
      <c r="F137" s="6" t="s">
        <v>26</v>
      </c>
    </row>
    <row r="138" customFormat="false" ht="15" hidden="false" customHeight="false" outlineLevel="0" collapsed="false">
      <c r="A138" s="6" t="s">
        <v>90</v>
      </c>
      <c r="B138" s="6" t="s">
        <v>91</v>
      </c>
      <c r="C138" s="6" t="s">
        <v>22</v>
      </c>
      <c r="D138" s="6" t="s">
        <v>638</v>
      </c>
      <c r="E138" s="6" t="s">
        <v>1298</v>
      </c>
      <c r="F138" s="6" t="s">
        <v>23</v>
      </c>
    </row>
    <row r="139" customFormat="false" ht="15" hidden="false" customHeight="false" outlineLevel="0" collapsed="false">
      <c r="A139" s="6" t="s">
        <v>638</v>
      </c>
      <c r="B139" s="6" t="s">
        <v>1298</v>
      </c>
      <c r="C139" s="6" t="s">
        <v>23</v>
      </c>
      <c r="D139" s="6" t="s">
        <v>1309</v>
      </c>
      <c r="E139" s="6" t="s">
        <v>1310</v>
      </c>
      <c r="F139" s="6" t="s">
        <v>25</v>
      </c>
    </row>
    <row r="140" customFormat="false" ht="15" hidden="false" customHeight="false" outlineLevel="0" collapsed="false">
      <c r="A140" s="6" t="s">
        <v>1309</v>
      </c>
      <c r="B140" s="6" t="s">
        <v>1310</v>
      </c>
      <c r="C140" s="6" t="s">
        <v>25</v>
      </c>
      <c r="D140" s="6" t="s">
        <v>1317</v>
      </c>
      <c r="E140" s="6" t="s">
        <v>1318</v>
      </c>
      <c r="F140" s="6" t="s">
        <v>25</v>
      </c>
    </row>
    <row r="141" customFormat="false" ht="15" hidden="false" customHeight="false" outlineLevel="0" collapsed="false">
      <c r="A141" s="6" t="s">
        <v>1317</v>
      </c>
      <c r="B141" s="6" t="s">
        <v>1318</v>
      </c>
      <c r="C141" s="6" t="s">
        <v>25</v>
      </c>
      <c r="D141" s="6" t="s">
        <v>1327</v>
      </c>
      <c r="E141" s="6" t="s">
        <v>1328</v>
      </c>
      <c r="F141" s="6" t="s">
        <v>25</v>
      </c>
    </row>
    <row r="142" customFormat="false" ht="15" hidden="false" customHeight="false" outlineLevel="0" collapsed="false">
      <c r="A142" s="6" t="s">
        <v>753</v>
      </c>
      <c r="B142" s="6" t="s">
        <v>754</v>
      </c>
      <c r="C142" s="6" t="s">
        <v>25</v>
      </c>
      <c r="D142" s="6" t="s">
        <v>760</v>
      </c>
      <c r="E142" s="6" t="s">
        <v>1336</v>
      </c>
      <c r="F142" s="6" t="s">
        <v>26</v>
      </c>
    </row>
    <row r="143" customFormat="false" ht="15" hidden="false" customHeight="false" outlineLevel="0" collapsed="false">
      <c r="A143" s="6" t="s">
        <v>1317</v>
      </c>
      <c r="B143" s="6" t="s">
        <v>1318</v>
      </c>
      <c r="C143" s="6" t="s">
        <v>25</v>
      </c>
      <c r="D143" s="6" t="s">
        <v>1347</v>
      </c>
      <c r="E143" s="6" t="s">
        <v>1348</v>
      </c>
      <c r="F143" s="6" t="s">
        <v>26</v>
      </c>
    </row>
    <row r="144" customFormat="false" ht="15" hidden="false" customHeight="false" outlineLevel="0" collapsed="false">
      <c r="A144" s="6" t="s">
        <v>638</v>
      </c>
      <c r="B144" s="6" t="s">
        <v>1298</v>
      </c>
      <c r="C144" s="6" t="s">
        <v>23</v>
      </c>
      <c r="D144" s="6" t="s">
        <v>1354</v>
      </c>
      <c r="E144" s="6" t="s">
        <v>1355</v>
      </c>
      <c r="F144" s="6" t="s">
        <v>25</v>
      </c>
    </row>
    <row r="145" customFormat="false" ht="15" hidden="false" customHeight="false" outlineLevel="0" collapsed="false">
      <c r="A145" s="6" t="s">
        <v>1309</v>
      </c>
      <c r="B145" s="6" t="s">
        <v>1310</v>
      </c>
      <c r="C145" s="6" t="s">
        <v>25</v>
      </c>
      <c r="D145" s="6" t="s">
        <v>1365</v>
      </c>
      <c r="E145" s="6" t="s">
        <v>1366</v>
      </c>
      <c r="F145" s="6" t="s">
        <v>25</v>
      </c>
    </row>
    <row r="146" customFormat="false" ht="15" hidden="false" customHeight="false" outlineLevel="0" collapsed="false">
      <c r="A146" s="6" t="s">
        <v>1365</v>
      </c>
      <c r="B146" s="6" t="s">
        <v>1366</v>
      </c>
      <c r="C146" s="6" t="s">
        <v>25</v>
      </c>
      <c r="D146" s="6" t="s">
        <v>1372</v>
      </c>
      <c r="E146" s="6" t="s">
        <v>1374</v>
      </c>
      <c r="F146" s="6" t="s">
        <v>26</v>
      </c>
    </row>
  </sheetData>
  <autoFilter ref="A1:F1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5"/>
    <col collapsed="false" customWidth="true" hidden="false" outlineLevel="0" max="3" min="3" style="0" width="12"/>
    <col collapsed="false" customWidth="true" hidden="false" outlineLevel="0" max="4" min="4" style="0" width="80"/>
  </cols>
  <sheetData>
    <row r="1" customFormat="false" ht="35.05" hidden="false" customHeight="false" outlineLevel="0" collapsed="false">
      <c r="A1" s="5" t="s">
        <v>59</v>
      </c>
      <c r="B1" s="5" t="s">
        <v>1381</v>
      </c>
      <c r="C1" s="5" t="s">
        <v>2315</v>
      </c>
      <c r="D1" s="5" t="s">
        <v>70</v>
      </c>
    </row>
    <row r="2" customFormat="false" ht="23.85" hidden="false" customHeight="false" outlineLevel="0" collapsed="false">
      <c r="A2" s="6" t="s">
        <v>1159</v>
      </c>
      <c r="B2" s="6" t="s">
        <v>1160</v>
      </c>
      <c r="C2" s="6" t="n">
        <v>3</v>
      </c>
      <c r="D2" s="6" t="s">
        <v>1162</v>
      </c>
    </row>
    <row r="3" customFormat="false" ht="15" hidden="false" customHeight="false" outlineLevel="0" collapsed="false">
      <c r="A3" s="6" t="s">
        <v>369</v>
      </c>
      <c r="B3" s="6" t="s">
        <v>370</v>
      </c>
      <c r="C3" s="6" t="n">
        <v>3</v>
      </c>
      <c r="D3" s="6" t="s">
        <v>373</v>
      </c>
    </row>
    <row r="4" customFormat="false" ht="23.85" hidden="false" customHeight="false" outlineLevel="0" collapsed="false">
      <c r="A4" s="6" t="s">
        <v>400</v>
      </c>
      <c r="B4" s="6" t="s">
        <v>401</v>
      </c>
      <c r="C4" s="6" t="n">
        <v>1</v>
      </c>
      <c r="D4" s="6" t="s">
        <v>403</v>
      </c>
    </row>
    <row r="5" customFormat="false" ht="15" hidden="false" customHeight="false" outlineLevel="0" collapsed="false">
      <c r="A5" s="6" t="s">
        <v>470</v>
      </c>
      <c r="B5" s="6" t="s">
        <v>471</v>
      </c>
      <c r="C5" s="6" t="n">
        <v>2</v>
      </c>
      <c r="D5" s="6" t="s">
        <v>473</v>
      </c>
    </row>
    <row r="6" customFormat="false" ht="23.85" hidden="false" customHeight="false" outlineLevel="0" collapsed="false">
      <c r="A6" s="6" t="s">
        <v>138</v>
      </c>
      <c r="B6" s="6" t="s">
        <v>139</v>
      </c>
      <c r="C6" s="6" t="n">
        <v>2</v>
      </c>
      <c r="D6" s="6" t="s">
        <v>142</v>
      </c>
    </row>
    <row r="7" customFormat="false" ht="23.85" hidden="false" customHeight="false" outlineLevel="0" collapsed="false">
      <c r="A7" s="6" t="s">
        <v>148</v>
      </c>
      <c r="B7" s="6" t="s">
        <v>358</v>
      </c>
      <c r="C7" s="6" t="n">
        <v>3</v>
      </c>
      <c r="D7" s="6" t="s">
        <v>361</v>
      </c>
    </row>
    <row r="8" customFormat="false" ht="15" hidden="false" customHeight="false" outlineLevel="0" collapsed="false">
      <c r="A8" s="6" t="s">
        <v>382</v>
      </c>
      <c r="B8" s="6" t="s">
        <v>383</v>
      </c>
      <c r="C8" s="6" t="n">
        <v>2</v>
      </c>
      <c r="D8" s="6" t="s">
        <v>385</v>
      </c>
    </row>
    <row r="9" customFormat="false" ht="15" hidden="false" customHeight="false" outlineLevel="0" collapsed="false">
      <c r="A9" s="6" t="s">
        <v>394</v>
      </c>
      <c r="B9" s="6" t="s">
        <v>395</v>
      </c>
      <c r="C9" s="6" t="n">
        <v>1</v>
      </c>
      <c r="D9" s="6" t="s">
        <v>397</v>
      </c>
    </row>
    <row r="10" customFormat="false" ht="15" hidden="false" customHeight="false" outlineLevel="0" collapsed="false">
      <c r="A10" s="6" t="s">
        <v>753</v>
      </c>
      <c r="B10" s="6" t="s">
        <v>754</v>
      </c>
      <c r="C10" s="6" t="n">
        <v>1</v>
      </c>
      <c r="D10" s="6" t="s">
        <v>756</v>
      </c>
    </row>
    <row r="11" customFormat="false" ht="15" hidden="false" customHeight="false" outlineLevel="0" collapsed="false">
      <c r="A11" s="6" t="s">
        <v>629</v>
      </c>
      <c r="B11" s="6" t="s">
        <v>630</v>
      </c>
      <c r="C11" s="6" t="n">
        <v>1</v>
      </c>
      <c r="D11" s="6" t="s">
        <v>632</v>
      </c>
    </row>
    <row r="12" customFormat="false" ht="23.85" hidden="false" customHeight="false" outlineLevel="0" collapsed="false">
      <c r="A12" s="6" t="s">
        <v>671</v>
      </c>
      <c r="B12" s="6" t="s">
        <v>672</v>
      </c>
      <c r="C12" s="6" t="n">
        <v>3</v>
      </c>
      <c r="D12" s="6" t="s">
        <v>674</v>
      </c>
    </row>
    <row r="13" customFormat="false" ht="15" hidden="false" customHeight="false" outlineLevel="0" collapsed="false">
      <c r="A13" s="6" t="s">
        <v>969</v>
      </c>
      <c r="B13" s="6" t="s">
        <v>970</v>
      </c>
      <c r="C13" s="6" t="n">
        <v>10</v>
      </c>
      <c r="D13" s="6" t="s">
        <v>972</v>
      </c>
    </row>
    <row r="14" customFormat="false" ht="23.85" hidden="false" customHeight="false" outlineLevel="0" collapsed="false">
      <c r="A14" s="6" t="s">
        <v>1061</v>
      </c>
      <c r="B14" s="6" t="s">
        <v>1062</v>
      </c>
      <c r="C14" s="6" t="n">
        <v>3</v>
      </c>
      <c r="D14" s="6" t="s">
        <v>1064</v>
      </c>
    </row>
    <row r="15" customFormat="false" ht="23.85" hidden="false" customHeight="false" outlineLevel="0" collapsed="false">
      <c r="A15" s="6" t="s">
        <v>1309</v>
      </c>
      <c r="B15" s="6" t="s">
        <v>1310</v>
      </c>
      <c r="C15" s="6" t="n">
        <v>1</v>
      </c>
      <c r="D15" s="6" t="s">
        <v>1312</v>
      </c>
    </row>
    <row r="16" customFormat="false" ht="15" hidden="false" customHeight="false" outlineLevel="0" collapsed="false">
      <c r="A16" s="6" t="s">
        <v>1317</v>
      </c>
      <c r="B16" s="6" t="s">
        <v>1318</v>
      </c>
      <c r="C16" s="6" t="n">
        <v>1</v>
      </c>
      <c r="D16" s="6" t="s">
        <v>1320</v>
      </c>
    </row>
    <row r="17" customFormat="false" ht="23.85" hidden="false" customHeight="false" outlineLevel="0" collapsed="false">
      <c r="A17" s="6" t="s">
        <v>638</v>
      </c>
      <c r="B17" s="6" t="s">
        <v>1298</v>
      </c>
      <c r="C17" s="6" t="n">
        <v>2</v>
      </c>
      <c r="D17" s="6" t="s">
        <v>1302</v>
      </c>
    </row>
    <row r="18" customFormat="false" ht="15" hidden="false" customHeight="false" outlineLevel="0" collapsed="false">
      <c r="A18" s="6" t="s">
        <v>760</v>
      </c>
      <c r="B18" s="6" t="s">
        <v>1336</v>
      </c>
      <c r="C18" s="6" t="n">
        <v>1</v>
      </c>
      <c r="D18" s="6" t="s">
        <v>1338</v>
      </c>
    </row>
    <row r="19" customFormat="false" ht="15" hidden="false" customHeight="false" outlineLevel="0" collapsed="false">
      <c r="A19" s="6" t="s">
        <v>1220</v>
      </c>
      <c r="B19" s="6" t="s">
        <v>1221</v>
      </c>
      <c r="C19" s="6" t="n">
        <v>3</v>
      </c>
      <c r="D19" s="6" t="s">
        <v>1223</v>
      </c>
    </row>
    <row r="20" customFormat="false" ht="23.85" hidden="false" customHeight="false" outlineLevel="0" collapsed="false">
      <c r="A20" s="6" t="s">
        <v>1281</v>
      </c>
      <c r="B20" s="6" t="s">
        <v>1282</v>
      </c>
      <c r="C20" s="6" t="n">
        <v>7</v>
      </c>
      <c r="D20" s="6" t="s">
        <v>1286</v>
      </c>
    </row>
    <row r="21" customFormat="false" ht="15" hidden="false" customHeight="false" outlineLevel="0" collapsed="false">
      <c r="A21" s="6" t="s">
        <v>1191</v>
      </c>
      <c r="B21" s="6" t="s">
        <v>1251</v>
      </c>
      <c r="C21" s="6" t="n">
        <v>2</v>
      </c>
      <c r="D21" s="6" t="s">
        <v>1253</v>
      </c>
    </row>
    <row r="22" customFormat="false" ht="15" hidden="false" customHeight="false" outlineLevel="0" collapsed="false">
      <c r="A22" s="6" t="s">
        <v>1289</v>
      </c>
      <c r="B22" s="6" t="s">
        <v>1293</v>
      </c>
      <c r="C22" s="6" t="n">
        <v>4</v>
      </c>
      <c r="D22" s="6" t="s">
        <v>1295</v>
      </c>
    </row>
  </sheetData>
  <autoFilter ref="A1:D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2026-10-10T14:20:30Z</dcterms:created>
  <dc:creator>openpyxl</dc:creator>
  <dc:description/>
  <dc:language>en-US</dc:language>
  <cp:lastModifiedBy/>
  <dcterms:modified xsi:type="dcterms:W3CDTF">2026-10-10T14:20:31Z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