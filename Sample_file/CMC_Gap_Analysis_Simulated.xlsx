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y Summary" sheetId="1" state="visible" r:id="rId3"/>
    <sheet name="Notes" sheetId="2" state="visible" r:id="rId4"/>
    <sheet name="Gap Register" sheetId="3" state="visible" r:id="rId5"/>
    <sheet name="Improvement Actions" sheetId="4" state="visible" r:id="rId6"/>
  </sheets>
  <definedNames>
    <definedName function="false" hidden="true" localSheetId="2" name="_xlnm._FilterDatabase" vbProcedure="false">'Gap Register'!$A$1:$O$40</definedName>
    <definedName function="false" hidden="true" localSheetId="3" name="_xlnm._FilterDatabase" vbProcedure="false">'Improvement Actions'!$A$1:$I$73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<sst xmlns="http://schemas.openxmlformats.org/spreadsheetml/2006/main" count="1017" uniqueCount="466">
  <si>
    <t xml:space="preserve">Function</t>
  </si>
  <si>
    <t xml:space="preserve">Category</t>
  </si>
  <si>
    <t xml:space="preserve">Category name</t>
  </si>
  <si>
    <t xml:space="preserve">Current Tier</t>
  </si>
  <si>
    <t xml:space="preserve">Target Tier</t>
  </si>
  <si>
    <t xml:space="preserve">Tier gap</t>
  </si>
  <si>
    <t xml:space="preserve">Feasibility flag</t>
  </si>
  <si>
    <t xml:space="preserve">Gaps</t>
  </si>
  <si>
    <t xml:space="preserve">Highest score</t>
  </si>
  <si>
    <t xml:space="preserve">Highest band</t>
  </si>
  <si>
    <t xml:space="preserve">IMPs</t>
  </si>
  <si>
    <t xml:space="preserve">Govern</t>
  </si>
  <si>
    <t xml:space="preserve">GV.OC</t>
  </si>
  <si>
    <t xml:space="preserve">Organizational Context</t>
  </si>
  <si>
    <t xml:space="preserve">GV.RM</t>
  </si>
  <si>
    <t xml:space="preserve">Risk Management Strategy</t>
  </si>
  <si>
    <t xml:space="preserve">GV.RR</t>
  </si>
  <si>
    <t xml:space="preserve">Roles, Responsibilities, and Authorities</t>
  </si>
  <si>
    <t xml:space="preserve">GV.PO</t>
  </si>
  <si>
    <t xml:space="preserve">Policy</t>
  </si>
  <si>
    <t xml:space="preserve">GV.OV</t>
  </si>
  <si>
    <t xml:space="preserve">Oversight</t>
  </si>
  <si>
    <t xml:space="preserve">GV.SC</t>
  </si>
  <si>
    <t xml:space="preserve">Cybersecurity Supply Chain Risk Management</t>
  </si>
  <si>
    <t xml:space="preserve">Identify</t>
  </si>
  <si>
    <t xml:space="preserve">ID.AM</t>
  </si>
  <si>
    <t xml:space="preserve">Asset Management</t>
  </si>
  <si>
    <t xml:space="preserve">ID.RA</t>
  </si>
  <si>
    <t xml:space="preserve">Risk Assessment</t>
  </si>
  <si>
    <t xml:space="preserve">ID.IM</t>
  </si>
  <si>
    <t xml:space="preserve">Improvement</t>
  </si>
  <si>
    <t xml:space="preserve">Protect</t>
  </si>
  <si>
    <t xml:space="preserve">PR.AA</t>
  </si>
  <si>
    <t xml:space="preserve">Identity Management, Authentication, and Access Control</t>
  </si>
  <si>
    <t xml:space="preserve">PR.AT</t>
  </si>
  <si>
    <t xml:space="preserve">Awareness and Training</t>
  </si>
  <si>
    <t xml:space="preserve">PR.DS</t>
  </si>
  <si>
    <t xml:space="preserve">Data Security</t>
  </si>
  <si>
    <t xml:space="preserve">PR.PS</t>
  </si>
  <si>
    <t xml:space="preserve">Platform Security</t>
  </si>
  <si>
    <t xml:space="preserve">PR.IR</t>
  </si>
  <si>
    <t xml:space="preserve">Technology Infrastructure Resilience</t>
  </si>
  <si>
    <t xml:space="preserve">Detect</t>
  </si>
  <si>
    <t xml:space="preserve">DE.CM</t>
  </si>
  <si>
    <t xml:space="preserve">Continuous Monitoring</t>
  </si>
  <si>
    <t xml:space="preserve">DE.AE</t>
  </si>
  <si>
    <t xml:space="preserve">Adverse Event Analysis</t>
  </si>
  <si>
    <t xml:space="preserve">Respond</t>
  </si>
  <si>
    <t xml:space="preserve">RS.MA</t>
  </si>
  <si>
    <t xml:space="preserve">Incident Management</t>
  </si>
  <si>
    <t xml:space="preserve">RS.AN</t>
  </si>
  <si>
    <t xml:space="preserve">Incident Analysis</t>
  </si>
  <si>
    <t xml:space="preserve">RS.CO</t>
  </si>
  <si>
    <t xml:space="preserve">Incident Response Reporting and Communication</t>
  </si>
  <si>
    <t xml:space="preserve">RS.MI</t>
  </si>
  <si>
    <t xml:space="preserve">Incident Mitigation</t>
  </si>
  <si>
    <t xml:space="preserve">Recover</t>
  </si>
  <si>
    <t xml:space="preserve">RC.RP</t>
  </si>
  <si>
    <t xml:space="preserve">Incident Recovery Plan Execution</t>
  </si>
  <si>
    <t xml:space="preserve">RC.CO</t>
  </si>
  <si>
    <t xml:space="preserve">Incident Recovery Communication</t>
  </si>
  <si>
    <t xml:space="preserve">Total</t>
  </si>
  <si>
    <t xml:space="preserve">CMC Gap Analysis (Simulated)</t>
  </si>
  <si>
    <t xml:space="preserve">Purpose</t>
  </si>
  <si>
    <t xml:space="preserve">Gap Findings and Improvement Actions for Chaophraya Medical Center (CMC, fictional), grounded in the Interview export. Same content as the six JSON files for Gap-Analysis-Compact.html.</t>
  </si>
  <si>
    <t xml:space="preserve">Tiers</t>
  </si>
  <si>
    <t xml:space="preserve">Current and Target Tier per Category come from the Interview export and Workshop profile. Edit only if the source changes.</t>
  </si>
  <si>
    <t xml:space="preserve">Cells to edit</t>
  </si>
  <si>
    <t xml:space="preserve">Blue text is an input: Tiers, Likelihood, Impact, thresholds. Black text is a formula.</t>
  </si>
  <si>
    <t xml:space="preserve">Band thresholds (Moderate appetite)</t>
  </si>
  <si>
    <t xml:space="preserve">Minimum score</t>
  </si>
  <si>
    <t xml:space="preserve">Critical</t>
  </si>
  <si>
    <t xml:space="preserve">High</t>
  </si>
  <si>
    <t xml:space="preserve">Medium</t>
  </si>
  <si>
    <t xml:space="preserve">Low</t>
  </si>
  <si>
    <t xml:space="preserve">Scoring</t>
  </si>
  <si>
    <t xml:space="preserve">Score = Likelihood (1 to 5) x highest Impact across six areas (1 to 5). The Gap Analysis HTML recalculates after assessor confirmation.</t>
  </si>
  <si>
    <t xml:space="preserve">To verify</t>
  </si>
  <si>
    <t xml:space="preserve">Current CII and PDPA reporting timelines must be checked against the latest announcements before use in a real procedure.</t>
  </si>
  <si>
    <t xml:space="preserve">Not included</t>
  </si>
  <si>
    <t xml:space="preserve">Owner, effort, cost, and timing belong to the Roadmap step. Cross-function dependencies are listed in the Depends on column.</t>
  </si>
  <si>
    <t xml:space="preserve">Gap ID</t>
  </si>
  <si>
    <t xml:space="preserve">Basis</t>
  </si>
  <si>
    <t xml:space="preserve">Gap title</t>
  </si>
  <si>
    <t xml:space="preserve">Gap statement</t>
  </si>
  <si>
    <t xml:space="preserve">Consequence</t>
  </si>
  <si>
    <t xml:space="preserve">Linked Subcategories</t>
  </si>
  <si>
    <t xml:space="preserve">Gap Type</t>
  </si>
  <si>
    <t xml:space="preserve">Likelihood (1-5)</t>
  </si>
  <si>
    <t xml:space="preserve">Highest Impact (1-5)</t>
  </si>
  <si>
    <t xml:space="preserve">Highest impact area</t>
  </si>
  <si>
    <t xml:space="preserve">Score</t>
  </si>
  <si>
    <t xml:space="preserve">Band</t>
  </si>
  <si>
    <t xml:space="preserve">GAP-GV.OC-01</t>
  </si>
  <si>
    <t xml:space="preserve">Observed</t>
  </si>
  <si>
    <t xml:space="preserve">Legal duties are documented but not maintained or assigned</t>
  </si>
  <si>
    <t xml:space="preserve">CMC records some CII and PDPA duties but does not keep the list current or assign owners, so deadlines depend on individuals.</t>
  </si>
  <si>
    <t xml:space="preserve">A missed reporting deadline or failed audit brings regulator action against a CII operator and weakens CMC's position after an incident.</t>
  </si>
  <si>
    <t xml:space="preserve">GV.OC-03</t>
  </si>
  <si>
    <t xml:space="preserve">Process</t>
  </si>
  <si>
    <t xml:space="preserve">legal</t>
  </si>
  <si>
    <t xml:space="preserve">GAP-GV.OC-02</t>
  </si>
  <si>
    <t xml:space="preserve">Mission, stakeholder needs, and critical dependencies do not guide decisions</t>
  </si>
  <si>
    <t xml:space="preserve">Management has not approved which services and dependencies are critical, so recovery and budget priorities rest on opinion.</t>
  </si>
  <si>
    <t xml:space="preserve">In an incident, teams argue over what to restore first, and investment goes to systems that matter less than HIS.</t>
  </si>
  <si>
    <t xml:space="preserve">GV.OC-01, GV.OC-02, GV.OC-04, GV.OC-05</t>
  </si>
  <si>
    <t xml:space="preserve">ops</t>
  </si>
  <si>
    <t xml:space="preserve">GAP-GV.RM-01</t>
  </si>
  <si>
    <t xml:space="preserve">No approved risk objectives, risk method, or appetite</t>
  </si>
  <si>
    <t xml:space="preserve">Risk decisions follow individual judgment rather than a method management approved, so executives cannot see which risks exceed tolerance.</t>
  </si>
  <si>
    <t xml:space="preserve">The CEO funds or declines security work without a view of risk, so large exposures stay open while small ones consume budget.</t>
  </si>
  <si>
    <t xml:space="preserve">GV.RM-01, GV.RM-02, GV.RM-06</t>
  </si>
  <si>
    <t xml:space="preserve">Governance</t>
  </si>
  <si>
    <t xml:space="preserve">fin</t>
  </si>
  <si>
    <t xml:space="preserve">GAP-GV.RM-02</t>
  </si>
  <si>
    <t xml:space="preserve">Inferred (Medium)</t>
  </si>
  <si>
    <t xml:space="preserve">Cyber risk is missing from enterprise risk reporting and strategy</t>
  </si>
  <si>
    <t xml:space="preserve">Cybersecurity risk is probably outside enterprise risk reporting, so the board sees it as an IT cost rather than a business risk.</t>
  </si>
  <si>
    <t xml:space="preserve">Security budget requests compete without risk evidence, and the board learns of exposure only after an incident.</t>
  </si>
  <si>
    <t xml:space="preserve">GV.RM-03, GV.RM-04, GV.RM-05, GV.RM-07</t>
  </si>
  <si>
    <t xml:space="preserve">GAP-GV.RR-01</t>
  </si>
  <si>
    <t xml:space="preserve">No accountable executive or resourced security function</t>
  </si>
  <si>
    <t xml:space="preserve">Security duties sit with IT staff beside operations, and the new Security Manager has no written mandate, authority, or budget.</t>
  </si>
  <si>
    <t xml:space="preserve">Risky changes proceed without a security decision, and no one can order containment or fund remediation during an incident.</t>
  </si>
  <si>
    <t xml:space="preserve">GV.RR-01, GV.RR-03</t>
  </si>
  <si>
    <t xml:space="preserve">GAP-GV.RR-02</t>
  </si>
  <si>
    <t xml:space="preserve">System ownership and HR practices omit security duties</t>
  </si>
  <si>
    <t xml:space="preserve">PACS and Active Directory have no named business owner, and HR practices carry no security duties, so risk on them has no accountable person.</t>
  </si>
  <si>
    <t xml:space="preserve">Control changes on PACS and Active Directory stall, and risk acceptances are made without the people who bear the effect.</t>
  </si>
  <si>
    <t xml:space="preserve">GV.RR-02, GV.RR-04</t>
  </si>
  <si>
    <t xml:space="preserve">GAP-GV.PO-01</t>
  </si>
  <si>
    <t xml:space="preserve">No approved security policy covers current systems and duties</t>
  </si>
  <si>
    <t xml:space="preserve">CMC has only an unsigned 2019 draft policy that staff never received, so no binding rule covers PDPA, CII, or current systems.</t>
  </si>
  <si>
    <t xml:space="preserve">Staff and vendors cannot be held to any rule, and an auditor or regulator finds no approved basis for CMC's controls.</t>
  </si>
  <si>
    <t xml:space="preserve">GV.PO-01</t>
  </si>
  <si>
    <t xml:space="preserve">GAP-GV.PO-02</t>
  </si>
  <si>
    <t xml:space="preserve">Policy exceptions are accepted without a record or expiry</t>
  </si>
  <si>
    <t xml:space="preserve">CMC has no exception process, so control bypasses such as shared administrator accounts continue without an owner, expiry, or visible risk.</t>
  </si>
  <si>
    <t xml:space="preserve">Accepted risks pile up unseen, and shared accounts prevent tracing who acted on patient systems after a breach.</t>
  </si>
  <si>
    <t xml:space="preserve">GV.PO-02</t>
  </si>
  <si>
    <t xml:space="preserve">GAP-GV.OV-01</t>
  </si>
  <si>
    <t xml:space="preserve">Leadership receives no regular cybersecurity reporting</t>
  </si>
  <si>
    <t xml:space="preserve">Executives hear about cybersecurity only after events, so they cannot judge progress or decide on resources.</t>
  </si>
  <si>
    <t xml:space="preserve">The CEO cannot tell whether risk is falling, so funding decisions follow the latest incident and not program results.</t>
  </si>
  <si>
    <t xml:space="preserve">GV.OV-01, GV.OV-02, GV.OV-03</t>
  </si>
  <si>
    <t xml:space="preserve">GAP-GV.SC-01</t>
  </si>
  <si>
    <t xml:space="preserve">Critical vendor contracts carry no security duties or processing agreements</t>
  </si>
  <si>
    <t xml:space="preserve">Contracts with critical vendors lack security duties and processing agreements, so CMC cannot require protection of patient data.</t>
  </si>
  <si>
    <t xml:space="preserve">A breach at the HIS or PACS vendor reaches patient data with no contract duty to notify CMC or cooperate.</t>
  </si>
  <si>
    <t xml:space="preserve">GV.SC-01, GV.SC-03, GV.SC-05, GV.SC-06</t>
  </si>
  <si>
    <t xml:space="preserve">data</t>
  </si>
  <si>
    <t xml:space="preserve">GAP-GV.SC-02</t>
  </si>
  <si>
    <t xml:space="preserve">Vendors reach critical systems through uncontrolled remote tools</t>
  </si>
  <si>
    <t xml:space="preserve">Vendors connect through always-on remote tools that CMC does not control, and they take no part in incident planning or exit steps.</t>
  </si>
  <si>
    <t xml:space="preserve">An attacker who takes over a vendor session reaches HIS or PACS directly, as in the attack path used against the peer hospital.</t>
  </si>
  <si>
    <t xml:space="preserve">GV.SC-02, GV.SC-04, GV.SC-08, GV.SC-09, GV.SC-10</t>
  </si>
  <si>
    <t xml:space="preserve">GAP-ID.AM-01</t>
  </si>
  <si>
    <t xml:space="preserve">Software, cloud, and data-flow inventories are missing</t>
  </si>
  <si>
    <t xml:space="preserve">CMC lists hardware and medical devices but not software, cloud services, or data flows, so exposure and breach scope cannot be mapped.</t>
  </si>
  <si>
    <t xml:space="preserve">Unlisted software stays unpatched, and after a breach CMC cannot say which patient records left the hospital.</t>
  </si>
  <si>
    <t xml:space="preserve">ID.AM-02, ID.AM-03, ID.AM-04, ID.AM-07</t>
  </si>
  <si>
    <t xml:space="preserve">GAP-ID.AM-02</t>
  </si>
  <si>
    <t xml:space="preserve">Asset ownership, criticality, and disposal are not managed</t>
  </si>
  <si>
    <t xml:space="preserve">Assets lack owners and criticality in the inventory, and devices leave CMC without disk sanitization.</t>
  </si>
  <si>
    <t xml:space="preserve">Patient data on a returned disk reaches a third party, and unknown devices join the network unnoticed.</t>
  </si>
  <si>
    <t xml:space="preserve">ID.AM-01, ID.AM-05, ID.AM-08</t>
  </si>
  <si>
    <t xml:space="preserve">GAP-ID.RA-01</t>
  </si>
  <si>
    <t xml:space="preserve">Internal systems are not scanned and the website carries a known weakness</t>
  </si>
  <si>
    <t xml:space="preserve">CMC does not scan its internal systems for vulnerabilities, so known flaws stay open until an outsider finds them.</t>
  </si>
  <si>
    <t xml:space="preserve">Attackers use a known flaw on the website or an internal server to gain a foothold and move toward HIS.</t>
  </si>
  <si>
    <t xml:space="preserve">ID.RA-01, ID.RA-06, ID.RA-07, ID.RA-08</t>
  </si>
  <si>
    <t xml:space="preserve">Technology</t>
  </si>
  <si>
    <t xml:space="preserve">GAP-ID.RA-02</t>
  </si>
  <si>
    <t xml:space="preserve">Threats and risk responses are not recorded or tracked</t>
  </si>
  <si>
    <t xml:space="preserve">CMC likely rates risks without sector threat information, so it has not judged its exposure to the ransomware that hit a peer hospital.</t>
  </si>
  <si>
    <t xml:space="preserve">Controls are chosen without a view of the likely attack path, so spending misses the routes attackers actually use.</t>
  </si>
  <si>
    <t xml:space="preserve">ID.RA-02, ID.RA-03, ID.RA-05, ID.RA-09, ID.RA-10</t>
  </si>
  <si>
    <t xml:space="preserve">GAP-ID.IM-01</t>
  </si>
  <si>
    <t xml:space="preserve">No exercises or reviews drive improvement</t>
  </si>
  <si>
    <t xml:space="preserve">CMC runs no exercises and does not update its plans from operational lessons, so weaknesses are found only in real events.</t>
  </si>
  <si>
    <t xml:space="preserve">Weak response plans and repeated findings first appear during a real attack or at the next audit.</t>
  </si>
  <si>
    <t xml:space="preserve">ID.IM-01, ID.IM-02, ID.IM-03, ID.IM-04</t>
  </si>
  <si>
    <t xml:space="preserve">Evidence</t>
  </si>
  <si>
    <t xml:space="preserve">GAP-PR.AA-01</t>
  </si>
  <si>
    <t xml:space="preserve">Privileged and vendor access relies on passwords alone</t>
  </si>
  <si>
    <t xml:space="preserve">CMC controls who holds an account but not how it proves identity, so its most powerful access paths have the weakest protection.</t>
  </si>
  <si>
    <t xml:space="preserve">One stolen administrator or vendor password lets ransomware encrypt HIS and Active Directory, which tolerate under four hours of downtime.</t>
  </si>
  <si>
    <t xml:space="preserve">PR.AA-03</t>
  </si>
  <si>
    <t xml:space="preserve">GAP-PR.AA-02</t>
  </si>
  <si>
    <t xml:space="preserve">Access is not controlled across the account life cycle</t>
  </si>
  <si>
    <t xml:space="preserve">Access rights depend on individuals instead of a governed process, so no one limits, reviews, or removes access consistently.</t>
  </si>
  <si>
    <t xml:space="preserve">Former staff or vendors keep access to patient data unnoticed, and a stolen shared account gives wide reach.</t>
  </si>
  <si>
    <t xml:space="preserve">PR.AA-01, PR.AA-02, PR.AA-05, PR.AA-06</t>
  </si>
  <si>
    <t xml:space="preserve">GAP-PR.AT-01</t>
  </si>
  <si>
    <t xml:space="preserve">Awareness training is not evidenced beyond phishing reporting</t>
  </si>
  <si>
    <t xml:space="preserve">Users can report phishing and simulations run, but no record shows an annual program with completion tracking for all staff.</t>
  </si>
  <si>
    <t xml:space="preserve">Staff untrained in general tasks click a phishing link, and CMC cannot show an auditor that training took place.</t>
  </si>
  <si>
    <t xml:space="preserve">PR.AT-01</t>
  </si>
  <si>
    <t xml:space="preserve">GAP-PR.DS-01</t>
  </si>
  <si>
    <t xml:space="preserve">Backups of core systems cannot be shown to survive ransomware</t>
  </si>
  <si>
    <t xml:space="preserve">Only the PACS backup has an offline or immutable copy, and no restore test has run on HIS, Microsoft 365, or Active Directory.</t>
  </si>
  <si>
    <t xml:space="preserve">Ransomware encrypts data and online backups together, so HIS cannot be restored and care continues on paper for an extended period.</t>
  </si>
  <si>
    <t xml:space="preserve">PR.DS-11</t>
  </si>
  <si>
    <t xml:space="preserve">GAP-PR.DS-02</t>
  </si>
  <si>
    <t xml:space="preserve">Patient data is not encrypted and test copies hold production data</t>
  </si>
  <si>
    <t xml:space="preserve">Protection of patient data depends on the system, so HIS stores and sends records without full encryption and keeps live copies in test.</t>
  </si>
  <si>
    <t xml:space="preserve">A stolen disk, laptop, or intercepted connection exposes sensitive health records and triggers PDPA breach notification.</t>
  </si>
  <si>
    <t xml:space="preserve">PR.DS-01, PR.DS-02, PR.DS-10</t>
  </si>
  <si>
    <t xml:space="preserve">GAP-PR.PS-01</t>
  </si>
  <si>
    <t xml:space="preserve">Critical servers and the website run end-of-life or late-patched software</t>
  </si>
  <si>
    <t xml:space="preserve">Platform support is not managed against a patch schedule, so end-of-life and late-patched systems stay in service.</t>
  </si>
  <si>
    <t xml:space="preserve">Attackers use a known flaw on PACS or an end-of-life host to enter and spread ransomware inside the network.</t>
  </si>
  <si>
    <t xml:space="preserve">PR.PS-02</t>
  </si>
  <si>
    <t xml:space="preserve">GAP-PR.PS-02</t>
  </si>
  <si>
    <t xml:space="preserve">Legacy medical devices have no compensating protection</t>
  </si>
  <si>
    <t xml:space="preserve">Devices that cannot be patched receive no isolation or monitoring, so one infected device can reach clinical systems.</t>
  </si>
  <si>
    <t xml:space="preserve">One infected medical device spreads inside a flat network, and loss of imaging delays diagnosis and treatment.</t>
  </si>
  <si>
    <t xml:space="preserve">PR.PS-03</t>
  </si>
  <si>
    <t xml:space="preserve">safety</t>
  </si>
  <si>
    <t xml:space="preserve">GAP-PR.IR-01</t>
  </si>
  <si>
    <t xml:space="preserve">The network is flat around critical systems</t>
  </si>
  <si>
    <t xml:space="preserve">HIS and Active Directory share a flat network, so any compromised device can reach the systems that run the hospital.</t>
  </si>
  <si>
    <t xml:space="preserve">Ransomware that enters through any workstation or vendor session spreads to HIS and Active Directory within hours.</t>
  </si>
  <si>
    <t xml:space="preserve">PR.IR-01</t>
  </si>
  <si>
    <t xml:space="preserve">GAP-PR.IR-02</t>
  </si>
  <si>
    <t xml:space="preserve">Critical systems will not recover within tolerable downtime</t>
  </si>
  <si>
    <t xml:space="preserve">Recovery capacity is not matched to downtime tolerance, so HIS and Active Directory cannot return in the time the hospital can bear.</t>
  </si>
  <si>
    <t xml:space="preserve">A failure or attack on HIS stops registration, ordering, and medication records beyond the four-hour tolerance.</t>
  </si>
  <si>
    <t xml:space="preserve">PR.IR-03, PR.IR-04</t>
  </si>
  <si>
    <t xml:space="preserve">GAP-DE.CM-01</t>
  </si>
  <si>
    <t xml:space="preserve">Network traffic and server logs are not monitored</t>
  </si>
  <si>
    <t xml:space="preserve">No one watches network traffic or reads logs on the core systems, although the hospital runs around the clock.</t>
  </si>
  <si>
    <t xml:space="preserve">An intruder works for days unseen, and ransomware is noticed only when files are encrypted.</t>
  </si>
  <si>
    <t xml:space="preserve">DE.CM-01, DE.CM-09</t>
  </si>
  <si>
    <t xml:space="preserve">GAP-DE.CM-02</t>
  </si>
  <si>
    <t xml:space="preserve">Vendor sessions are unlogged and physical monitoring is unconfirmed</t>
  </si>
  <si>
    <t xml:space="preserve">CMC records neither vendor remote sessions nor proof that physical alerts are watched, so misuse leaves little trace.</t>
  </si>
  <si>
    <t xml:space="preserve">A vendor or insider can copy patient records without detection, and CMC cannot prove what was accessed.</t>
  </si>
  <si>
    <t xml:space="preserve">DE.CM-02, DE.CM-06</t>
  </si>
  <si>
    <t xml:space="preserve">GAP-DE.AE-01</t>
  </si>
  <si>
    <t xml:space="preserve">No one triages alerts or declares incidents</t>
  </si>
  <si>
    <t xml:space="preserve">No team is assigned to analyze alerts, and no rule decides when an event becomes an incident.</t>
  </si>
  <si>
    <t xml:space="preserve">Response starts late or not at all, and regulator clocks run before CMC declares an incident.</t>
  </si>
  <si>
    <t xml:space="preserve">DE.AE-02, DE.AE-06, DE.AE-08</t>
  </si>
  <si>
    <t xml:space="preserve">GAP-DE.AE-02</t>
  </si>
  <si>
    <t xml:space="preserve">Ransomware precursors are not detected or correlated</t>
  </si>
  <si>
    <t xml:space="preserve">CMC probably has no rules for early ransomware signs, so the first visible sign is likely encrypted files.</t>
  </si>
  <si>
    <t xml:space="preserve">Encryption spreads across servers before anyone reacts, and recovery starts from a full outage.</t>
  </si>
  <si>
    <t xml:space="preserve">DE.AE-03, DE.AE-04</t>
  </si>
  <si>
    <t xml:space="preserve">GAP-RS.MA-01</t>
  </si>
  <si>
    <t xml:space="preserve">No tested incident response plan or ransomware playbook</t>
  </si>
  <si>
    <t xml:space="preserve">Incidents are handled by whoever is available, with no confirmed playbook, no exercise, and no criteria to start recovery.</t>
  </si>
  <si>
    <t xml:space="preserve">Decisions in the first hours are improvised during an attack on a hospital that runs around the clock, and reporting duties are missed.</t>
  </si>
  <si>
    <t xml:space="preserve">RS.MA-01, RS.MA-05</t>
  </si>
  <si>
    <t xml:space="preserve">GAP-RS.MA-02</t>
  </si>
  <si>
    <t xml:space="preserve">Incident reports are not triaged, categorized, or escalated</t>
  </si>
  <si>
    <t xml:space="preserve">Reports reach IT but no steps triage, rate, or escalate them, so serious incidents cannot be told from routine ones.</t>
  </si>
  <si>
    <t xml:space="preserve">A reportable event passes as routine, and CMC misses its CII reporting duty.</t>
  </si>
  <si>
    <t xml:space="preserve">RS.MA-02, RS.MA-03, RS.MA-04</t>
  </si>
  <si>
    <t xml:space="preserve">GAP-RS.AN-01</t>
  </si>
  <si>
    <t xml:space="preserve">Investigation records and evidence are not preserved</t>
  </si>
  <si>
    <t xml:space="preserve">CMC has only partial forensic capability and unsynchronized clocks, so evidence is weak and the entry point stays unknown.</t>
  </si>
  <si>
    <t xml:space="preserve">Attackers return through the same route after recovery, and CMC cannot support a regulator inquiry.</t>
  </si>
  <si>
    <t xml:space="preserve">RS.AN-06, RS.AN-07</t>
  </si>
  <si>
    <t xml:space="preserve">GAP-RS.AN-02</t>
  </si>
  <si>
    <t xml:space="preserve">CMC cannot estimate how much patient data an incident reached</t>
  </si>
  <si>
    <t xml:space="preserve">Missing logs and data maps probably prevent CMC from scoping a breach to specific patient records.</t>
  </si>
  <si>
    <t xml:space="preserve">CMC cannot complete a PDPA breach assessment, so it notifies too many patients or too late.</t>
  </si>
  <si>
    <t xml:space="preserve">RS.AN-03, RS.AN-08</t>
  </si>
  <si>
    <t xml:space="preserve">GAP-RS.CO-01</t>
  </si>
  <si>
    <t xml:space="preserve">Regulatory reporting duties are not built into procedures</t>
  </si>
  <si>
    <t xml:space="preserve">No procedure or owner covers CII incident reporting or PDPA breach notification, so duties depend on memory under pressure.</t>
  </si>
  <si>
    <t xml:space="preserve">CMC misses a reporting deadline during an incident and faces regulator action on top of the attack.</t>
  </si>
  <si>
    <t xml:space="preserve">RS.CO-02</t>
  </si>
  <si>
    <t xml:space="preserve">GAP-RS.CO-02</t>
  </si>
  <si>
    <t xml:space="preserve">No roles or templates for sharing incident information</t>
  </si>
  <si>
    <t xml:space="preserve">No one is assigned to speak to patients, staff, media, or referring hospitals during an incident.</t>
  </si>
  <si>
    <t xml:space="preserve">Conflicting statements damage patient trust and invite media speculation.</t>
  </si>
  <si>
    <t xml:space="preserve">RS.CO-03</t>
  </si>
  <si>
    <t xml:space="preserve">rep</t>
  </si>
  <si>
    <t xml:space="preserve">GAP-RS.MI-01</t>
  </si>
  <si>
    <t xml:space="preserve">Containment ability exists but decision authority does not</t>
  </si>
  <si>
    <t xml:space="preserve">The team can isolate hosts, but no playbook or authority says who orders isolation of core systems, even at night.</t>
  </si>
  <si>
    <t xml:space="preserve">Delay in disconnecting lets ransomware spread to more systems and lengthens the outage.</t>
  </si>
  <si>
    <t xml:space="preserve">RS.MI-01, RS.MI-02</t>
  </si>
  <si>
    <t xml:space="preserve">GAP-RC.RP-01</t>
  </si>
  <si>
    <t xml:space="preserve">No recovery plan based on agreed recovery objectives</t>
  </si>
  <si>
    <t xml:space="preserve">Recovery objectives and restore order are not agreed, so no plan matches what HIS, PACS, and Active Directory need.</t>
  </si>
  <si>
    <t xml:space="preserve">Recovery after ransomware is unplanned, so clinical systems return late and in the wrong order.</t>
  </si>
  <si>
    <t xml:space="preserve">RC.RP-01, RC.RP-02, RC.RP-04, RC.RP-06</t>
  </si>
  <si>
    <t xml:space="preserve">GAP-RC.RP-02</t>
  </si>
  <si>
    <t xml:space="preserve">Backups and restored systems are never verified</t>
  </si>
  <si>
    <t xml:space="preserve">No restore has been tested, so CMC does not know whether backups work or how long recovery takes.</t>
  </si>
  <si>
    <t xml:space="preserve">Restores fail or bring back infected data, and clinical staff work without a tested manual fallback.</t>
  </si>
  <si>
    <t xml:space="preserve">RC.RP-03, RC.RP-05</t>
  </si>
  <si>
    <t xml:space="preserve">GAP-RC.CO-01</t>
  </si>
  <si>
    <t xml:space="preserve">No process to communicate during recovery</t>
  </si>
  <si>
    <t xml:space="preserve">No process or spokesperson informs patients, referring hospitals, and regulators as services return.</t>
  </si>
  <si>
    <t xml:space="preserve">Recovery updates are informal and inconsistent, which prolongs loss of trust.</t>
  </si>
  <si>
    <t xml:space="preserve">RC.CO-03, RC.CO-04</t>
  </si>
  <si>
    <t xml:space="preserve">IMP ID</t>
  </si>
  <si>
    <t xml:space="preserve">Angle</t>
  </si>
  <si>
    <t xml:space="preserve">Action</t>
  </si>
  <si>
    <t xml:space="preserve">Systems</t>
  </si>
  <si>
    <t xml:space="preserve">Depends on (same Function)</t>
  </si>
  <si>
    <t xml:space="preserve">Gap band</t>
  </si>
  <si>
    <t xml:space="preserve">IMP-GV.OC-01-01</t>
  </si>
  <si>
    <t xml:space="preserve">Fix</t>
  </si>
  <si>
    <t xml:space="preserve">Add an owner, review date, and deadline to each duty in the register of CII and PDPA requirements</t>
  </si>
  <si>
    <t xml:space="preserve">IMP-GV.OC-01-02</t>
  </si>
  <si>
    <t xml:space="preserve">Prevent</t>
  </si>
  <si>
    <t xml:space="preserve">Review the register every year and after each law or regulator change</t>
  </si>
  <si>
    <t xml:space="preserve">IMP-GV.OC-02-01</t>
  </si>
  <si>
    <t xml:space="preserve">Present the Criticality A list to the CIO and CEO for approval and link it to recovery priorities</t>
  </si>
  <si>
    <t xml:space="preserve">IMP-GV.RM-01-01</t>
  </si>
  <si>
    <t xml:space="preserve">Approve a risk appetite statement and one risk method</t>
  </si>
  <si>
    <t xml:space="preserve">IMP-GV.RM-01-02</t>
  </si>
  <si>
    <t xml:space="preserve">Start a shared risk register that executives review</t>
  </si>
  <si>
    <t xml:space="preserve">IMP-GV.RM-02-01</t>
  </si>
  <si>
    <t xml:space="preserve">Add cybersecurity risks to the enterprise risk report presented to the board each quarter</t>
  </si>
  <si>
    <t xml:space="preserve">IMP-GV.RR-01-01</t>
  </si>
  <si>
    <t xml:space="preserve">Issue a mandate letter for the Security Manager covering authority, reporting line, and budget, and name an accountable executive</t>
  </si>
  <si>
    <t xml:space="preserve">IMP-GV.RR-02-01</t>
  </si>
  <si>
    <t xml:space="preserve">Name a business owner for PACS and Active Directory and record the owner duties</t>
  </si>
  <si>
    <t xml:space="preserve">PACS, Active Directory</t>
  </si>
  <si>
    <t xml:space="preserve">IMP-GV.RR-02-02</t>
  </si>
  <si>
    <t xml:space="preserve">Add security duties to job descriptions and joiner, mover, and leaver steps with HR</t>
  </si>
  <si>
    <t xml:space="preserve">IMP-GV.PO-01-01</t>
  </si>
  <si>
    <t xml:space="preserve">Approve the Information Security Policy and communicate it to all staff and vendors</t>
  </si>
  <si>
    <t xml:space="preserve">IMP-GV.PO-02-01</t>
  </si>
  <si>
    <t xml:space="preserve">Handle exceptions</t>
  </si>
  <si>
    <t xml:space="preserve">Introduce a policy exception form with risk owner, compensating control, and expiry date</t>
  </si>
  <si>
    <t xml:space="preserve">IMP-GV.OV-01-01</t>
  </si>
  <si>
    <t xml:space="preserve">Set up a security steering committee that meets quarterly with a baseline metric set</t>
  </si>
  <si>
    <t xml:space="preserve">IMP-GV.SC-01-01</t>
  </si>
  <si>
    <t xml:space="preserve">Add security clauses and a data processing agreement to the HIS and PACS vendor contracts</t>
  </si>
  <si>
    <t xml:space="preserve">HIS, PACS</t>
  </si>
  <si>
    <t xml:space="preserve">IMP-GV.SC-01-02</t>
  </si>
  <si>
    <t xml:space="preserve">Require security due diligence before every new critical vendor contract</t>
  </si>
  <si>
    <t xml:space="preserve">IMP-GV.SC-02-01</t>
  </si>
  <si>
    <t xml:space="preserve">Replace unattended vendor remote tools with a supervised access method protected by MFA</t>
  </si>
  <si>
    <t xml:space="preserve">IMP-GV.SC-02-02</t>
  </si>
  <si>
    <t xml:space="preserve">Find</t>
  </si>
  <si>
    <t xml:space="preserve">Rank all vendors by criticality and list the access each one holds</t>
  </si>
  <si>
    <t xml:space="preserve">IMP-GV.SC-02-03</t>
  </si>
  <si>
    <t xml:space="preserve">Include critical vendors in incident response planning and contract exit steps</t>
  </si>
  <si>
    <t xml:space="preserve">IMP-ID.AM-01-01</t>
  </si>
  <si>
    <t xml:space="preserve">Build a software and cloud service inventory with version and support status, Criticality A systems first</t>
  </si>
  <si>
    <t xml:space="preserve">IMP-ID.AM-01-02</t>
  </si>
  <si>
    <t xml:space="preserve">Map network and patient data flows for HIS, PACS, LIS, and ERP and start the Record of Processing Activities (ROPA)</t>
  </si>
  <si>
    <t xml:space="preserve">IMP-ID.AM-02-01</t>
  </si>
  <si>
    <t xml:space="preserve">Assign an owner and criticality to every hardware and medical device record</t>
  </si>
  <si>
    <t xml:space="preserve">IMP-ID.AM-02-02</t>
  </si>
  <si>
    <t xml:space="preserve">Require inventory update in change approval and reconcile it every six months</t>
  </si>
  <si>
    <t xml:space="preserve">IMP-ID.RA-01-01</t>
  </si>
  <si>
    <t xml:space="preserve">Run authenticated vulnerability scans monthly on Criticality A systems and the hospital website and track findings to closure</t>
  </si>
  <si>
    <t xml:space="preserve">HIS, PACS, Hospital website</t>
  </si>
  <si>
    <t xml:space="preserve">IMP-ID.RA-01-02</t>
  </si>
  <si>
    <t xml:space="preserve">Set remediation timelines by severity and report them to the steering committee</t>
  </si>
  <si>
    <t xml:space="preserve">IMP-ID.RA-02-01</t>
  </si>
  <si>
    <t xml:space="preserve">Write ransomware and third-party access threat scenarios from the peer hospital incident</t>
  </si>
  <si>
    <t xml:space="preserve">IMP-ID.RA-02-02</t>
  </si>
  <si>
    <t xml:space="preserve">Subscribe to a sector threat advisory source and review it monthly</t>
  </si>
  <si>
    <t xml:space="preserve">IMP-ID.IM-01-01</t>
  </si>
  <si>
    <t xml:space="preserve">Run a first tabletop exercise on ransomware and record the improvements</t>
  </si>
  <si>
    <t xml:space="preserve">IMP-ID.IM-01-02</t>
  </si>
  <si>
    <t xml:space="preserve">Open an improvement register fed by exercises, audits, and incidents</t>
  </si>
  <si>
    <t xml:space="preserve">IMP-PR.AA-01-01</t>
  </si>
  <si>
    <t xml:space="preserve">Enforce MFA for administrators on HIS, PACS, and Active Directory</t>
  </si>
  <si>
    <t xml:space="preserve">HIS, PACS, Active Directory</t>
  </si>
  <si>
    <t xml:space="preserve">IMP-PR.AA-01-02</t>
  </si>
  <si>
    <t xml:space="preserve">Require MFA and session logging for vendor remote access and remove unattended remote tools</t>
  </si>
  <si>
    <t xml:space="preserve">IMP-PR.AA-01-03</t>
  </si>
  <si>
    <t xml:space="preserve">List every system with its authentication method and MFA status, Criticality A and B first</t>
  </si>
  <si>
    <t xml:space="preserve">IMP-PR.AA-01-04</t>
  </si>
  <si>
    <t xml:space="preserve">Approve an authentication standard that requires MFA for new systems</t>
  </si>
  <si>
    <t xml:space="preserve">IMP-PR.AA-01-05</t>
  </si>
  <si>
    <t xml:space="preserve">Place systems that cannot support MFA behind a jump host with session logging and a time-limited risk acceptance</t>
  </si>
  <si>
    <t xml:space="preserve">IMP-PR.AA-02-01</t>
  </si>
  <si>
    <t xml:space="preserve">Run a first access review on Criticality A systems, privileged accounts first</t>
  </si>
  <si>
    <t xml:space="preserve">IMP-PR.AA-02-02</t>
  </si>
  <si>
    <t xml:space="preserve">Identify shared and generic administrator accounts on PACS, Active Directory, and the website</t>
  </si>
  <si>
    <t xml:space="preserve">IMP-PR.AA-02-03</t>
  </si>
  <si>
    <t xml:space="preserve">Link joiner, mover, and leaver steps to HR and set a six-month review cycle</t>
  </si>
  <si>
    <t xml:space="preserve">IMP-PR.AA-02-04</t>
  </si>
  <si>
    <t xml:space="preserve">Keep server room access logs and review the access list each quarter</t>
  </si>
  <si>
    <t xml:space="preserve">IMP-PR.AT-01-01</t>
  </si>
  <si>
    <t xml:space="preserve">Record completion of an annual awareness program for all staff</t>
  </si>
  <si>
    <t xml:space="preserve">IMP-PR.DS-01-01</t>
  </si>
  <si>
    <t xml:space="preserve">Add an offline or immutable backup copy for HIS, ERP, Active Directory, and Microsoft 365 data</t>
  </si>
  <si>
    <t xml:space="preserve">HIS, ERP, Active Directory</t>
  </si>
  <si>
    <t xml:space="preserve">IMP-PR.DS-01-02</t>
  </si>
  <si>
    <t xml:space="preserve">Run and record a restore test on HIS, Microsoft 365, and Active Directory with recovery time measured</t>
  </si>
  <si>
    <t xml:space="preserve">HIS, Active Directory</t>
  </si>
  <si>
    <t xml:space="preserve">IMP-PR.DS-01-03</t>
  </si>
  <si>
    <t xml:space="preserve">Set a restore test schedule for Criticality A systems</t>
  </si>
  <si>
    <t xml:space="preserve">IMP-PR.DS-02-01</t>
  </si>
  <si>
    <t xml:space="preserve">Encrypt the HIS database and enforce TLS on all HIS connections</t>
  </si>
  <si>
    <t xml:space="preserve">HIS</t>
  </si>
  <si>
    <t xml:space="preserve">IMP-PR.DS-02-02</t>
  </si>
  <si>
    <t xml:space="preserve">Replace production personal data in test with masked data</t>
  </si>
  <si>
    <t xml:space="preserve">IMP-PR.DS-02-03</t>
  </si>
  <si>
    <t xml:space="preserve">Confirm the encryption status of PACS, LIS, and ERP</t>
  </si>
  <si>
    <t xml:space="preserve">PACS, LIS, ERP</t>
  </si>
  <si>
    <t xml:space="preserve">IMP-PR.PS-01-01</t>
  </si>
  <si>
    <t xml:space="preserve">Upgrade or isolate the end-of-life PACS platform and the website host</t>
  </si>
  <si>
    <t xml:space="preserve">PACS, Hospital website</t>
  </si>
  <si>
    <t xml:space="preserve">IMP-PR.PS-01-02</t>
  </si>
  <si>
    <t xml:space="preserve">List all systems past end of support with their owners</t>
  </si>
  <si>
    <t xml:space="preserve">IMP-PR.PS-01-03</t>
  </si>
  <si>
    <t xml:space="preserve">Set patch timelines by severity and track compliance monthly</t>
  </si>
  <si>
    <t xml:space="preserve">IMP-PR.PS-02-01</t>
  </si>
  <si>
    <t xml:space="preserve">Isolate legacy medical devices in a dedicated segment and restrict their traffic</t>
  </si>
  <si>
    <t xml:space="preserve">Legacy medical devices</t>
  </si>
  <si>
    <t xml:space="preserve">IMP-PR.PS-02-02</t>
  </si>
  <si>
    <t xml:space="preserve">Add patching and support terms to medical device vendor contracts</t>
  </si>
  <si>
    <t xml:space="preserve">IMP-PR.IR-01-01</t>
  </si>
  <si>
    <t xml:space="preserve">Segment the network so HIS, PACS, Active Directory, medical devices, and guest Wi-Fi sit in separate zones with filtered access</t>
  </si>
  <si>
    <t xml:space="preserve">IMP-PR.IR-02-01</t>
  </si>
  <si>
    <t xml:space="preserve">Test whether HIS and Active Directory can recover within tolerable downtime</t>
  </si>
  <si>
    <t xml:space="preserve">IMP-PR.IR-02-02</t>
  </si>
  <si>
    <t xml:space="preserve">Design a failover or recovery option for the HIS database</t>
  </si>
  <si>
    <t xml:space="preserve">IMP-DE.CM-01-01</t>
  </si>
  <si>
    <t xml:space="preserve">Enable security logs on HIS and PACS and deploy central logging for Criticality A systems</t>
  </si>
  <si>
    <t xml:space="preserve">IMP-DE.CM-01-02</t>
  </si>
  <si>
    <t xml:space="preserve">Agree a monitoring model, in-house or managed service, for 24 hour coverage</t>
  </si>
  <si>
    <t xml:space="preserve">IMP-DE.CM-01-03</t>
  </si>
  <si>
    <t xml:space="preserve">Install endpoint protection on the PACS servers</t>
  </si>
  <si>
    <t xml:space="preserve">PACS</t>
  </si>
  <si>
    <t xml:space="preserve">IMP-DE.CM-02-01</t>
  </si>
  <si>
    <t xml:space="preserve">Log vendor remote sessions to HIS and PACS and review the logs weekly</t>
  </si>
  <si>
    <t xml:space="preserve">IMP-DE.AE-01-01</t>
  </si>
  <si>
    <t xml:space="preserve">Define alert triage steps and incident declaration criteria</t>
  </si>
  <si>
    <t xml:space="preserve">IMP-DE.AE-02-01</t>
  </si>
  <si>
    <t xml:space="preserve">Build detection rules for mass file renames, backup deletion, and new administrator accounts</t>
  </si>
  <si>
    <t xml:space="preserve">IMP-RS.MA-01-01</t>
  </si>
  <si>
    <t xml:space="preserve">Approve an incident response plan with a ransomware playbook</t>
  </si>
  <si>
    <t xml:space="preserve">IMP-RS.MA-01-02</t>
  </si>
  <si>
    <t xml:space="preserve">Hold a tabletop exercise on ransomware each year</t>
  </si>
  <si>
    <t xml:space="preserve">IMP-RS.MA-02-01</t>
  </si>
  <si>
    <t xml:space="preserve">Define triage, severity, and escalation steps and start an incident log</t>
  </si>
  <si>
    <t xml:space="preserve">IMP-RS.MA-02-02</t>
  </si>
  <si>
    <t xml:space="preserve">Keep a current contact list and an out-of-band channel for responders</t>
  </si>
  <si>
    <t xml:space="preserve">IMP-RS.AN-01-01</t>
  </si>
  <si>
    <t xml:space="preserve">Define evidence preservation steps and retain a forensic provider</t>
  </si>
  <si>
    <t xml:space="preserve">IMP-RS.AN-01-02</t>
  </si>
  <si>
    <t xml:space="preserve">Synchronize system clocks to a trusted time source</t>
  </si>
  <si>
    <t xml:space="preserve">IMP-RS.AN-02-01</t>
  </si>
  <si>
    <t xml:space="preserve">Extend log retention on HIS and PACS to support scoping of affected records</t>
  </si>
  <si>
    <t xml:space="preserve">IMP-RS.CO-01-01</t>
  </si>
  <si>
    <t xml:space="preserve">Write a notification procedure with owner, timeline, and template for CII and PDPA reporting after verifying current timelines</t>
  </si>
  <si>
    <t xml:space="preserve">IMP-RS.CO-02-01</t>
  </si>
  <si>
    <t xml:space="preserve">Name communication roles and prepare message templates for patients, staff, and media</t>
  </si>
  <si>
    <t xml:space="preserve">IMP-RS.MI-01-01</t>
  </si>
  <si>
    <t xml:space="preserve">Record who may isolate which systems, including a night shift rule for HIS, in the response plan</t>
  </si>
  <si>
    <t xml:space="preserve">IMP-RC.RP-01-01</t>
  </si>
  <si>
    <t xml:space="preserve">Agree recovery objectives for HIS, PACS, and LIS and write a recovery plan with restore order</t>
  </si>
  <si>
    <t xml:space="preserve">HIS, PACS, LIS</t>
  </si>
  <si>
    <t xml:space="preserve">IMP-RC.RP-01-02</t>
  </si>
  <si>
    <t xml:space="preserve">Evaluate a recovery site or cloud recovery option for HIS and Active Directory</t>
  </si>
  <si>
    <t xml:space="preserve">IMP-RC.RP-02-01</t>
  </si>
  <si>
    <t xml:space="preserve">Check backup integrity before every restore and verify restored systems before release</t>
  </si>
  <si>
    <t xml:space="preserve">IMP-RC.RP-02-02</t>
  </si>
  <si>
    <t xml:space="preserve">Document paper-based downtime procedures for the wards</t>
  </si>
  <si>
    <t xml:space="preserve">IMP-RC.CO-01-01</t>
  </si>
  <si>
    <t xml:space="preserve">Define the recovery communication process and approve a spokesperson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</si>
</sst>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F4B6B6"/>
        </patternFill>
      </fill>
    </dxf>
    <dxf>
      <fill>
        <patternFill>
          <bgColor rgb="FFF9D5A7"/>
        </patternFill>
      </fill>
    </dxf>
    <dxf>
      <fill>
        <patternFill>
          <bgColor rgb="FFFFF2B3"/>
        </patternFill>
      </fill>
    </dxf>
    <dxf>
      <fill>
        <patternFill>
          <bgColor rgb="FFD9EAD3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9D5A7"/>
          <bgColor rgb="FF000000"/>
        </patternFill>
      </fill>
    </dxf>
    <dxf>
      <fill>
        <patternFill patternType="solid">
          <fgColor rgb="FFFFF2B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B3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4B6B6"/>
      <rgbColor rgb="FFCC99FF"/>
      <rgbColor rgb="FFF9D5A7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52"/>
    <col collapsed="false" customWidth="true" hidden="false" outlineLevel="0" max="5" min="4" style="0" width="12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8"/>
    <col collapsed="false" customWidth="true" hidden="false" outlineLevel="0" max="10" min="9" style="0" width="13"/>
    <col collapsed="false" customWidth="true" hidden="false" outlineLevel="0" max="11" min="11" style="0" width="8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2" t="s">
        <v>12</v>
      </c>
      <c r="C2" s="3" t="s">
        <v>13</v>
      </c>
      <c r="D2" s="4" t="n">
        <v>1</v>
      </c>
      <c r="E2" s="4" t="n">
        <v>3</v>
      </c>
      <c r="F2" s="2" t="n">
        <f aca="false">MAX(0,E2-D2)</f>
        <v>2</v>
      </c>
      <c r="G2" s="2" t="str">
        <f aca="false">IF(F2&gt;=2,"Yes","No")</f>
        <v>Yes</v>
      </c>
      <c r="H2" s="2" t="n">
        <f aca="false">COUNTIF('Gap Register'!$C$2:$C$40,B2)</f>
        <v>2</v>
      </c>
      <c r="I2" s="2" t="n">
        <f aca="false">_xlfn.MAXIFS('Gap Register'!$N$2:$N$40,'Gap Register'!$C$2:$C$40,B2)</f>
        <v>12</v>
      </c>
      <c r="J2" s="2" t="str">
        <f aca="false">IF(H2=0,"None",IF(I2&gt;=Notes!$B$7,"Critical",IF(I2&gt;=Notes!$B$8,"High",IF(I2&gt;=Notes!$B$9,"Medium","Low"))))</f>
        <v>High</v>
      </c>
      <c r="K2" s="2" t="n">
        <f aca="false">COUNTIF('Improvement Actions'!$C$2:$C$73,B2)</f>
        <v>3</v>
      </c>
    </row>
    <row r="3" customFormat="false" ht="15" hidden="false" customHeight="false" outlineLevel="0" collapsed="false">
      <c r="A3" s="2" t="s">
        <v>11</v>
      </c>
      <c r="B3" s="2" t="s">
        <v>14</v>
      </c>
      <c r="C3" s="3" t="s">
        <v>15</v>
      </c>
      <c r="D3" s="4" t="n">
        <v>1</v>
      </c>
      <c r="E3" s="4" t="n">
        <v>3</v>
      </c>
      <c r="F3" s="2" t="n">
        <f aca="false">MAX(0,E3-D3)</f>
        <v>2</v>
      </c>
      <c r="G3" s="2" t="str">
        <f aca="false">IF(F3&gt;=2,"Yes","No")</f>
        <v>Yes</v>
      </c>
      <c r="H3" s="2" t="n">
        <f aca="false">COUNTIF('Gap Register'!$C$2:$C$40,B3)</f>
        <v>2</v>
      </c>
      <c r="I3" s="2" t="n">
        <f aca="false">_xlfn.MAXIFS('Gap Register'!$N$2:$N$40,'Gap Register'!$C$2:$C$40,B3)</f>
        <v>16</v>
      </c>
      <c r="J3" s="2" t="str">
        <f aca="false">IF(H3=0,"None",IF(I3&gt;=Notes!$B$7,"Critical",IF(I3&gt;=Notes!$B$8,"High",IF(I3&gt;=Notes!$B$9,"Medium","Low"))))</f>
        <v>High</v>
      </c>
      <c r="K3" s="2" t="n">
        <f aca="false">COUNTIF('Improvement Actions'!$C$2:$C$73,B3)</f>
        <v>3</v>
      </c>
    </row>
    <row r="4" customFormat="false" ht="15" hidden="false" customHeight="false" outlineLevel="0" collapsed="false">
      <c r="A4" s="2" t="s">
        <v>11</v>
      </c>
      <c r="B4" s="2" t="s">
        <v>16</v>
      </c>
      <c r="C4" s="3" t="s">
        <v>17</v>
      </c>
      <c r="D4" s="4" t="n">
        <v>1</v>
      </c>
      <c r="E4" s="4" t="n">
        <v>3</v>
      </c>
      <c r="F4" s="2" t="n">
        <f aca="false">MAX(0,E4-D4)</f>
        <v>2</v>
      </c>
      <c r="G4" s="2" t="str">
        <f aca="false">IF(F4&gt;=2,"Yes","No")</f>
        <v>Yes</v>
      </c>
      <c r="H4" s="2" t="n">
        <f aca="false">COUNTIF('Gap Register'!$C$2:$C$40,B4)</f>
        <v>2</v>
      </c>
      <c r="I4" s="2" t="n">
        <f aca="false">_xlfn.MAXIFS('Gap Register'!$N$2:$N$40,'Gap Register'!$C$2:$C$40,B4)</f>
        <v>16</v>
      </c>
      <c r="J4" s="2" t="str">
        <f aca="false">IF(H4=0,"None",IF(I4&gt;=Notes!$B$7,"Critical",IF(I4&gt;=Notes!$B$8,"High",IF(I4&gt;=Notes!$B$9,"Medium","Low"))))</f>
        <v>High</v>
      </c>
      <c r="K4" s="2" t="n">
        <f aca="false">COUNTIF('Improvement Actions'!$C$2:$C$73,B4)</f>
        <v>3</v>
      </c>
    </row>
    <row r="5" customFormat="false" ht="15" hidden="false" customHeight="false" outlineLevel="0" collapsed="false">
      <c r="A5" s="2" t="s">
        <v>11</v>
      </c>
      <c r="B5" s="2" t="s">
        <v>18</v>
      </c>
      <c r="C5" s="3" t="s">
        <v>19</v>
      </c>
      <c r="D5" s="4" t="n">
        <v>1</v>
      </c>
      <c r="E5" s="4" t="n">
        <v>3</v>
      </c>
      <c r="F5" s="2" t="n">
        <f aca="false">MAX(0,E5-D5)</f>
        <v>2</v>
      </c>
      <c r="G5" s="2" t="str">
        <f aca="false">IF(F5&gt;=2,"Yes","No")</f>
        <v>Yes</v>
      </c>
      <c r="H5" s="2" t="n">
        <f aca="false">COUNTIF('Gap Register'!$C$2:$C$40,B5)</f>
        <v>2</v>
      </c>
      <c r="I5" s="2" t="n">
        <f aca="false">_xlfn.MAXIFS('Gap Register'!$N$2:$N$40,'Gap Register'!$C$2:$C$40,B5)</f>
        <v>16</v>
      </c>
      <c r="J5" s="2" t="str">
        <f aca="false">IF(H5=0,"None",IF(I5&gt;=Notes!$B$7,"Critical",IF(I5&gt;=Notes!$B$8,"High",IF(I5&gt;=Notes!$B$9,"Medium","Low"))))</f>
        <v>High</v>
      </c>
      <c r="K5" s="2" t="n">
        <f aca="false">COUNTIF('Improvement Actions'!$C$2:$C$73,B5)</f>
        <v>2</v>
      </c>
    </row>
    <row r="6" customFormat="false" ht="15" hidden="false" customHeight="false" outlineLevel="0" collapsed="false">
      <c r="A6" s="2" t="s">
        <v>11</v>
      </c>
      <c r="B6" s="2" t="s">
        <v>20</v>
      </c>
      <c r="C6" s="3" t="s">
        <v>21</v>
      </c>
      <c r="D6" s="4" t="n">
        <v>1</v>
      </c>
      <c r="E6" s="4" t="n">
        <v>3</v>
      </c>
      <c r="F6" s="2" t="n">
        <f aca="false">MAX(0,E6-D6)</f>
        <v>2</v>
      </c>
      <c r="G6" s="2" t="str">
        <f aca="false">IF(F6&gt;=2,"Yes","No")</f>
        <v>Yes</v>
      </c>
      <c r="H6" s="2" t="n">
        <f aca="false">COUNTIF('Gap Register'!$C$2:$C$40,B6)</f>
        <v>1</v>
      </c>
      <c r="I6" s="2" t="n">
        <f aca="false">_xlfn.MAXIFS('Gap Register'!$N$2:$N$40,'Gap Register'!$C$2:$C$40,B6)</f>
        <v>9</v>
      </c>
      <c r="J6" s="2" t="str">
        <f aca="false">IF(H6=0,"None",IF(I6&gt;=Notes!$B$7,"Critical",IF(I6&gt;=Notes!$B$8,"High",IF(I6&gt;=Notes!$B$9,"Medium","Low"))))</f>
        <v>Medium</v>
      </c>
      <c r="K6" s="2" t="n">
        <f aca="false">COUNTIF('Improvement Actions'!$C$2:$C$73,B6)</f>
        <v>1</v>
      </c>
    </row>
    <row r="7" customFormat="false" ht="15" hidden="false" customHeight="false" outlineLevel="0" collapsed="false">
      <c r="A7" s="2" t="s">
        <v>11</v>
      </c>
      <c r="B7" s="2" t="s">
        <v>22</v>
      </c>
      <c r="C7" s="3" t="s">
        <v>23</v>
      </c>
      <c r="D7" s="4" t="n">
        <v>1</v>
      </c>
      <c r="E7" s="4" t="n">
        <v>3</v>
      </c>
      <c r="F7" s="2" t="n">
        <f aca="false">MAX(0,E7-D7)</f>
        <v>2</v>
      </c>
      <c r="G7" s="2" t="str">
        <f aca="false">IF(F7&gt;=2,"Yes","No")</f>
        <v>Yes</v>
      </c>
      <c r="H7" s="2" t="n">
        <f aca="false">COUNTIF('Gap Register'!$C$2:$C$40,B7)</f>
        <v>2</v>
      </c>
      <c r="I7" s="2" t="n">
        <f aca="false">_xlfn.MAXIFS('Gap Register'!$N$2:$N$40,'Gap Register'!$C$2:$C$40,B7)</f>
        <v>20</v>
      </c>
      <c r="J7" s="2" t="str">
        <f aca="false">IF(H7=0,"None",IF(I7&gt;=Notes!$B$7,"Critical",IF(I7&gt;=Notes!$B$8,"High",IF(I7&gt;=Notes!$B$9,"Medium","Low"))))</f>
        <v>Critical</v>
      </c>
      <c r="K7" s="2" t="n">
        <f aca="false">COUNTIF('Improvement Actions'!$C$2:$C$73,B7)</f>
        <v>5</v>
      </c>
    </row>
    <row r="8" customFormat="false" ht="15" hidden="false" customHeight="false" outlineLevel="0" collapsed="false">
      <c r="A8" s="2" t="s">
        <v>24</v>
      </c>
      <c r="B8" s="2" t="s">
        <v>25</v>
      </c>
      <c r="C8" s="3" t="s">
        <v>26</v>
      </c>
      <c r="D8" s="4" t="n">
        <v>1</v>
      </c>
      <c r="E8" s="4" t="n">
        <v>3</v>
      </c>
      <c r="F8" s="2" t="n">
        <f aca="false">MAX(0,E8-D8)</f>
        <v>2</v>
      </c>
      <c r="G8" s="2" t="str">
        <f aca="false">IF(F8&gt;=2,"Yes","No")</f>
        <v>Yes</v>
      </c>
      <c r="H8" s="2" t="n">
        <f aca="false">COUNTIF('Gap Register'!$C$2:$C$40,B8)</f>
        <v>2</v>
      </c>
      <c r="I8" s="2" t="n">
        <f aca="false">_xlfn.MAXIFS('Gap Register'!$N$2:$N$40,'Gap Register'!$C$2:$C$40,B8)</f>
        <v>12</v>
      </c>
      <c r="J8" s="2" t="str">
        <f aca="false">IF(H8=0,"None",IF(I8&gt;=Notes!$B$7,"Critical",IF(I8&gt;=Notes!$B$8,"High",IF(I8&gt;=Notes!$B$9,"Medium","Low"))))</f>
        <v>High</v>
      </c>
      <c r="K8" s="2" t="n">
        <f aca="false">COUNTIF('Improvement Actions'!$C$2:$C$73,B8)</f>
        <v>4</v>
      </c>
    </row>
    <row r="9" customFormat="false" ht="15" hidden="false" customHeight="false" outlineLevel="0" collapsed="false">
      <c r="A9" s="2" t="s">
        <v>24</v>
      </c>
      <c r="B9" s="2" t="s">
        <v>27</v>
      </c>
      <c r="C9" s="3" t="s">
        <v>28</v>
      </c>
      <c r="D9" s="4" t="n">
        <v>1</v>
      </c>
      <c r="E9" s="4" t="n">
        <v>3</v>
      </c>
      <c r="F9" s="2" t="n">
        <f aca="false">MAX(0,E9-D9)</f>
        <v>2</v>
      </c>
      <c r="G9" s="2" t="str">
        <f aca="false">IF(F9&gt;=2,"Yes","No")</f>
        <v>Yes</v>
      </c>
      <c r="H9" s="2" t="n">
        <f aca="false">COUNTIF('Gap Register'!$C$2:$C$40,B9)</f>
        <v>2</v>
      </c>
      <c r="I9" s="2" t="n">
        <f aca="false">_xlfn.MAXIFS('Gap Register'!$N$2:$N$40,'Gap Register'!$C$2:$C$40,B9)</f>
        <v>20</v>
      </c>
      <c r="J9" s="2" t="str">
        <f aca="false">IF(H9=0,"None",IF(I9&gt;=Notes!$B$7,"Critical",IF(I9&gt;=Notes!$B$8,"High",IF(I9&gt;=Notes!$B$9,"Medium","Low"))))</f>
        <v>Critical</v>
      </c>
      <c r="K9" s="2" t="n">
        <f aca="false">COUNTIF('Improvement Actions'!$C$2:$C$73,B9)</f>
        <v>4</v>
      </c>
    </row>
    <row r="10" customFormat="false" ht="15" hidden="false" customHeight="false" outlineLevel="0" collapsed="false">
      <c r="A10" s="2" t="s">
        <v>24</v>
      </c>
      <c r="B10" s="2" t="s">
        <v>29</v>
      </c>
      <c r="C10" s="3" t="s">
        <v>30</v>
      </c>
      <c r="D10" s="4" t="n">
        <v>1</v>
      </c>
      <c r="E10" s="4" t="n">
        <v>3</v>
      </c>
      <c r="F10" s="2" t="n">
        <f aca="false">MAX(0,E10-D10)</f>
        <v>2</v>
      </c>
      <c r="G10" s="2" t="str">
        <f aca="false">IF(F10&gt;=2,"Yes","No")</f>
        <v>Yes</v>
      </c>
      <c r="H10" s="2" t="n">
        <f aca="false">COUNTIF('Gap Register'!$C$2:$C$40,B10)</f>
        <v>1</v>
      </c>
      <c r="I10" s="2" t="n">
        <f aca="false">_xlfn.MAXIFS('Gap Register'!$N$2:$N$40,'Gap Register'!$C$2:$C$40,B10)</f>
        <v>12</v>
      </c>
      <c r="J10" s="2" t="str">
        <f aca="false">IF(H10=0,"None",IF(I10&gt;=Notes!$B$7,"Critical",IF(I10&gt;=Notes!$B$8,"High",IF(I10&gt;=Notes!$B$9,"Medium","Low"))))</f>
        <v>High</v>
      </c>
      <c r="K10" s="2" t="n">
        <f aca="false">COUNTIF('Improvement Actions'!$C$2:$C$73,B10)</f>
        <v>2</v>
      </c>
    </row>
    <row r="11" customFormat="false" ht="15" hidden="false" customHeight="false" outlineLevel="0" collapsed="false">
      <c r="A11" s="2" t="s">
        <v>31</v>
      </c>
      <c r="B11" s="2" t="s">
        <v>32</v>
      </c>
      <c r="C11" s="3" t="s">
        <v>33</v>
      </c>
      <c r="D11" s="4" t="n">
        <v>2</v>
      </c>
      <c r="E11" s="4" t="n">
        <v>3</v>
      </c>
      <c r="F11" s="2" t="n">
        <f aca="false">MAX(0,E11-D11)</f>
        <v>1</v>
      </c>
      <c r="G11" s="2" t="str">
        <f aca="false">IF(F11&gt;=2,"Yes","No")</f>
        <v>No</v>
      </c>
      <c r="H11" s="2" t="n">
        <f aca="false">COUNTIF('Gap Register'!$C$2:$C$40,B11)</f>
        <v>2</v>
      </c>
      <c r="I11" s="2" t="n">
        <f aca="false">_xlfn.MAXIFS('Gap Register'!$N$2:$N$40,'Gap Register'!$C$2:$C$40,B11)</f>
        <v>20</v>
      </c>
      <c r="J11" s="2" t="str">
        <f aca="false">IF(H11=0,"None",IF(I11&gt;=Notes!$B$7,"Critical",IF(I11&gt;=Notes!$B$8,"High",IF(I11&gt;=Notes!$B$9,"Medium","Low"))))</f>
        <v>Critical</v>
      </c>
      <c r="K11" s="2" t="n">
        <f aca="false">COUNTIF('Improvement Actions'!$C$2:$C$73,B11)</f>
        <v>9</v>
      </c>
    </row>
    <row r="12" customFormat="false" ht="15" hidden="false" customHeight="false" outlineLevel="0" collapsed="false">
      <c r="A12" s="2" t="s">
        <v>31</v>
      </c>
      <c r="B12" s="2" t="s">
        <v>34</v>
      </c>
      <c r="C12" s="3" t="s">
        <v>35</v>
      </c>
      <c r="D12" s="4" t="n">
        <v>2</v>
      </c>
      <c r="E12" s="4" t="n">
        <v>2</v>
      </c>
      <c r="F12" s="2" t="n">
        <f aca="false">MAX(0,E12-D12)</f>
        <v>0</v>
      </c>
      <c r="G12" s="2" t="str">
        <f aca="false">IF(F12&gt;=2,"Yes","No")</f>
        <v>No</v>
      </c>
      <c r="H12" s="2" t="n">
        <f aca="false">COUNTIF('Gap Register'!$C$2:$C$40,B12)</f>
        <v>1</v>
      </c>
      <c r="I12" s="2" t="n">
        <f aca="false">_xlfn.MAXIFS('Gap Register'!$N$2:$N$40,'Gap Register'!$C$2:$C$40,B12)</f>
        <v>6</v>
      </c>
      <c r="J12" s="2" t="str">
        <f aca="false">IF(H12=0,"None",IF(I12&gt;=Notes!$B$7,"Critical",IF(I12&gt;=Notes!$B$8,"High",IF(I12&gt;=Notes!$B$9,"Medium","Low"))))</f>
        <v>Medium</v>
      </c>
      <c r="K12" s="2" t="n">
        <f aca="false">COUNTIF('Improvement Actions'!$C$2:$C$73,B12)</f>
        <v>1</v>
      </c>
    </row>
    <row r="13" customFormat="false" ht="15" hidden="false" customHeight="false" outlineLevel="0" collapsed="false">
      <c r="A13" s="2" t="s">
        <v>31</v>
      </c>
      <c r="B13" s="2" t="s">
        <v>36</v>
      </c>
      <c r="C13" s="3" t="s">
        <v>37</v>
      </c>
      <c r="D13" s="4" t="n">
        <v>1</v>
      </c>
      <c r="E13" s="4" t="n">
        <v>3</v>
      </c>
      <c r="F13" s="2" t="n">
        <f aca="false">MAX(0,E13-D13)</f>
        <v>2</v>
      </c>
      <c r="G13" s="2" t="str">
        <f aca="false">IF(F13&gt;=2,"Yes","No")</f>
        <v>Yes</v>
      </c>
      <c r="H13" s="2" t="n">
        <f aca="false">COUNTIF('Gap Register'!$C$2:$C$40,B13)</f>
        <v>2</v>
      </c>
      <c r="I13" s="2" t="n">
        <f aca="false">_xlfn.MAXIFS('Gap Register'!$N$2:$N$40,'Gap Register'!$C$2:$C$40,B13)</f>
        <v>20</v>
      </c>
      <c r="J13" s="2" t="str">
        <f aca="false">IF(H13=0,"None",IF(I13&gt;=Notes!$B$7,"Critical",IF(I13&gt;=Notes!$B$8,"High",IF(I13&gt;=Notes!$B$9,"Medium","Low"))))</f>
        <v>Critical</v>
      </c>
      <c r="K13" s="2" t="n">
        <f aca="false">COUNTIF('Improvement Actions'!$C$2:$C$73,B13)</f>
        <v>6</v>
      </c>
    </row>
    <row r="14" customFormat="false" ht="15" hidden="false" customHeight="false" outlineLevel="0" collapsed="false">
      <c r="A14" s="2" t="s">
        <v>31</v>
      </c>
      <c r="B14" s="2" t="s">
        <v>38</v>
      </c>
      <c r="C14" s="3" t="s">
        <v>39</v>
      </c>
      <c r="D14" s="4" t="n">
        <v>2</v>
      </c>
      <c r="E14" s="4" t="n">
        <v>2</v>
      </c>
      <c r="F14" s="2" t="n">
        <f aca="false">MAX(0,E14-D14)</f>
        <v>0</v>
      </c>
      <c r="G14" s="2" t="str">
        <f aca="false">IF(F14&gt;=2,"Yes","No")</f>
        <v>No</v>
      </c>
      <c r="H14" s="2" t="n">
        <f aca="false">COUNTIF('Gap Register'!$C$2:$C$40,B14)</f>
        <v>2</v>
      </c>
      <c r="I14" s="2" t="n">
        <f aca="false">_xlfn.MAXIFS('Gap Register'!$N$2:$N$40,'Gap Register'!$C$2:$C$40,B14)</f>
        <v>20</v>
      </c>
      <c r="J14" s="2" t="str">
        <f aca="false">IF(H14=0,"None",IF(I14&gt;=Notes!$B$7,"Critical",IF(I14&gt;=Notes!$B$8,"High",IF(I14&gt;=Notes!$B$9,"Medium","Low"))))</f>
        <v>Critical</v>
      </c>
      <c r="K14" s="2" t="n">
        <f aca="false">COUNTIF('Improvement Actions'!$C$2:$C$73,B14)</f>
        <v>5</v>
      </c>
    </row>
    <row r="15" customFormat="false" ht="15" hidden="false" customHeight="false" outlineLevel="0" collapsed="false">
      <c r="A15" s="2" t="s">
        <v>31</v>
      </c>
      <c r="B15" s="2" t="s">
        <v>40</v>
      </c>
      <c r="C15" s="3" t="s">
        <v>41</v>
      </c>
      <c r="D15" s="4" t="n">
        <v>2</v>
      </c>
      <c r="E15" s="4" t="n">
        <v>3</v>
      </c>
      <c r="F15" s="2" t="n">
        <f aca="false">MAX(0,E15-D15)</f>
        <v>1</v>
      </c>
      <c r="G15" s="2" t="str">
        <f aca="false">IF(F15&gt;=2,"Yes","No")</f>
        <v>No</v>
      </c>
      <c r="H15" s="2" t="n">
        <f aca="false">COUNTIF('Gap Register'!$C$2:$C$40,B15)</f>
        <v>2</v>
      </c>
      <c r="I15" s="2" t="n">
        <f aca="false">_xlfn.MAXIFS('Gap Register'!$N$2:$N$40,'Gap Register'!$C$2:$C$40,B15)</f>
        <v>20</v>
      </c>
      <c r="J15" s="2" t="str">
        <f aca="false">IF(H15=0,"None",IF(I15&gt;=Notes!$B$7,"Critical",IF(I15&gt;=Notes!$B$8,"High",IF(I15&gt;=Notes!$B$9,"Medium","Low"))))</f>
        <v>Critical</v>
      </c>
      <c r="K15" s="2" t="n">
        <f aca="false">COUNTIF('Improvement Actions'!$C$2:$C$73,B15)</f>
        <v>3</v>
      </c>
    </row>
    <row r="16" customFormat="false" ht="15" hidden="false" customHeight="false" outlineLevel="0" collapsed="false">
      <c r="A16" s="2" t="s">
        <v>42</v>
      </c>
      <c r="B16" s="2" t="s">
        <v>43</v>
      </c>
      <c r="C16" s="3" t="s">
        <v>44</v>
      </c>
      <c r="D16" s="4" t="n">
        <v>1</v>
      </c>
      <c r="E16" s="4" t="n">
        <v>3</v>
      </c>
      <c r="F16" s="2" t="n">
        <f aca="false">MAX(0,E16-D16)</f>
        <v>2</v>
      </c>
      <c r="G16" s="2" t="str">
        <f aca="false">IF(F16&gt;=2,"Yes","No")</f>
        <v>Yes</v>
      </c>
      <c r="H16" s="2" t="n">
        <f aca="false">COUNTIF('Gap Register'!$C$2:$C$40,B16)</f>
        <v>2</v>
      </c>
      <c r="I16" s="2" t="n">
        <f aca="false">_xlfn.MAXIFS('Gap Register'!$N$2:$N$40,'Gap Register'!$C$2:$C$40,B16)</f>
        <v>20</v>
      </c>
      <c r="J16" s="2" t="str">
        <f aca="false">IF(H16=0,"None",IF(I16&gt;=Notes!$B$7,"Critical",IF(I16&gt;=Notes!$B$8,"High",IF(I16&gt;=Notes!$B$9,"Medium","Low"))))</f>
        <v>Critical</v>
      </c>
      <c r="K16" s="2" t="n">
        <f aca="false">COUNTIF('Improvement Actions'!$C$2:$C$73,B16)</f>
        <v>4</v>
      </c>
    </row>
    <row r="17" customFormat="false" ht="15" hidden="false" customHeight="false" outlineLevel="0" collapsed="false">
      <c r="A17" s="2" t="s">
        <v>42</v>
      </c>
      <c r="B17" s="2" t="s">
        <v>45</v>
      </c>
      <c r="C17" s="3" t="s">
        <v>46</v>
      </c>
      <c r="D17" s="4" t="n">
        <v>1</v>
      </c>
      <c r="E17" s="4" t="n">
        <v>3</v>
      </c>
      <c r="F17" s="2" t="n">
        <f aca="false">MAX(0,E17-D17)</f>
        <v>2</v>
      </c>
      <c r="G17" s="2" t="str">
        <f aca="false">IF(F17&gt;=2,"Yes","No")</f>
        <v>Yes</v>
      </c>
      <c r="H17" s="2" t="n">
        <f aca="false">COUNTIF('Gap Register'!$C$2:$C$40,B17)</f>
        <v>2</v>
      </c>
      <c r="I17" s="2" t="n">
        <f aca="false">_xlfn.MAXIFS('Gap Register'!$N$2:$N$40,'Gap Register'!$C$2:$C$40,B17)</f>
        <v>16</v>
      </c>
      <c r="J17" s="2" t="str">
        <f aca="false">IF(H17=0,"None",IF(I17&gt;=Notes!$B$7,"Critical",IF(I17&gt;=Notes!$B$8,"High",IF(I17&gt;=Notes!$B$9,"Medium","Low"))))</f>
        <v>High</v>
      </c>
      <c r="K17" s="2" t="n">
        <f aca="false">COUNTIF('Improvement Actions'!$C$2:$C$73,B17)</f>
        <v>2</v>
      </c>
    </row>
    <row r="18" customFormat="false" ht="15" hidden="false" customHeight="false" outlineLevel="0" collapsed="false">
      <c r="A18" s="2" t="s">
        <v>47</v>
      </c>
      <c r="B18" s="2" t="s">
        <v>48</v>
      </c>
      <c r="C18" s="3" t="s">
        <v>49</v>
      </c>
      <c r="D18" s="4" t="n">
        <v>1</v>
      </c>
      <c r="E18" s="4" t="n">
        <v>3</v>
      </c>
      <c r="F18" s="2" t="n">
        <f aca="false">MAX(0,E18-D18)</f>
        <v>2</v>
      </c>
      <c r="G18" s="2" t="str">
        <f aca="false">IF(F18&gt;=2,"Yes","No")</f>
        <v>Yes</v>
      </c>
      <c r="H18" s="2" t="n">
        <f aca="false">COUNTIF('Gap Register'!$C$2:$C$40,B18)</f>
        <v>2</v>
      </c>
      <c r="I18" s="2" t="n">
        <f aca="false">_xlfn.MAXIFS('Gap Register'!$N$2:$N$40,'Gap Register'!$C$2:$C$40,B18)</f>
        <v>20</v>
      </c>
      <c r="J18" s="2" t="str">
        <f aca="false">IF(H18=0,"None",IF(I18&gt;=Notes!$B$7,"Critical",IF(I18&gt;=Notes!$B$8,"High",IF(I18&gt;=Notes!$B$9,"Medium","Low"))))</f>
        <v>Critical</v>
      </c>
      <c r="K18" s="2" t="n">
        <f aca="false">COUNTIF('Improvement Actions'!$C$2:$C$73,B18)</f>
        <v>4</v>
      </c>
    </row>
    <row r="19" customFormat="false" ht="15" hidden="false" customHeight="false" outlineLevel="0" collapsed="false">
      <c r="A19" s="2" t="s">
        <v>47</v>
      </c>
      <c r="B19" s="2" t="s">
        <v>50</v>
      </c>
      <c r="C19" s="3" t="s">
        <v>51</v>
      </c>
      <c r="D19" s="4" t="n">
        <v>1</v>
      </c>
      <c r="E19" s="4" t="n">
        <v>3</v>
      </c>
      <c r="F19" s="2" t="n">
        <f aca="false">MAX(0,E19-D19)</f>
        <v>2</v>
      </c>
      <c r="G19" s="2" t="str">
        <f aca="false">IF(F19&gt;=2,"Yes","No")</f>
        <v>Yes</v>
      </c>
      <c r="H19" s="2" t="n">
        <f aca="false">COUNTIF('Gap Register'!$C$2:$C$40,B19)</f>
        <v>2</v>
      </c>
      <c r="I19" s="2" t="n">
        <f aca="false">_xlfn.MAXIFS('Gap Register'!$N$2:$N$40,'Gap Register'!$C$2:$C$40,B19)</f>
        <v>12</v>
      </c>
      <c r="J19" s="2" t="str">
        <f aca="false">IF(H19=0,"None",IF(I19&gt;=Notes!$B$7,"Critical",IF(I19&gt;=Notes!$B$8,"High",IF(I19&gt;=Notes!$B$9,"Medium","Low"))))</f>
        <v>High</v>
      </c>
      <c r="K19" s="2" t="n">
        <f aca="false">COUNTIF('Improvement Actions'!$C$2:$C$73,B19)</f>
        <v>3</v>
      </c>
    </row>
    <row r="20" customFormat="false" ht="15" hidden="false" customHeight="false" outlineLevel="0" collapsed="false">
      <c r="A20" s="2" t="s">
        <v>47</v>
      </c>
      <c r="B20" s="2" t="s">
        <v>52</v>
      </c>
      <c r="C20" s="3" t="s">
        <v>53</v>
      </c>
      <c r="D20" s="4" t="n">
        <v>1</v>
      </c>
      <c r="E20" s="4" t="n">
        <v>3</v>
      </c>
      <c r="F20" s="2" t="n">
        <f aca="false">MAX(0,E20-D20)</f>
        <v>2</v>
      </c>
      <c r="G20" s="2" t="str">
        <f aca="false">IF(F20&gt;=2,"Yes","No")</f>
        <v>Yes</v>
      </c>
      <c r="H20" s="2" t="n">
        <f aca="false">COUNTIF('Gap Register'!$C$2:$C$40,B20)</f>
        <v>2</v>
      </c>
      <c r="I20" s="2" t="n">
        <f aca="false">_xlfn.MAXIFS('Gap Register'!$N$2:$N$40,'Gap Register'!$C$2:$C$40,B20)</f>
        <v>16</v>
      </c>
      <c r="J20" s="2" t="str">
        <f aca="false">IF(H20=0,"None",IF(I20&gt;=Notes!$B$7,"Critical",IF(I20&gt;=Notes!$B$8,"High",IF(I20&gt;=Notes!$B$9,"Medium","Low"))))</f>
        <v>High</v>
      </c>
      <c r="K20" s="2" t="n">
        <f aca="false">COUNTIF('Improvement Actions'!$C$2:$C$73,B20)</f>
        <v>2</v>
      </c>
    </row>
    <row r="21" customFormat="false" ht="15" hidden="false" customHeight="false" outlineLevel="0" collapsed="false">
      <c r="A21" s="2" t="s">
        <v>47</v>
      </c>
      <c r="B21" s="2" t="s">
        <v>54</v>
      </c>
      <c r="C21" s="3" t="s">
        <v>55</v>
      </c>
      <c r="D21" s="4" t="n">
        <v>1</v>
      </c>
      <c r="E21" s="4" t="n">
        <v>2</v>
      </c>
      <c r="F21" s="2" t="n">
        <f aca="false">MAX(0,E21-D21)</f>
        <v>1</v>
      </c>
      <c r="G21" s="2" t="str">
        <f aca="false">IF(F21&gt;=2,"Yes","No")</f>
        <v>No</v>
      </c>
      <c r="H21" s="2" t="n">
        <f aca="false">COUNTIF('Gap Register'!$C$2:$C$40,B21)</f>
        <v>1</v>
      </c>
      <c r="I21" s="2" t="n">
        <f aca="false">_xlfn.MAXIFS('Gap Register'!$N$2:$N$40,'Gap Register'!$C$2:$C$40,B21)</f>
        <v>15</v>
      </c>
      <c r="J21" s="2" t="str">
        <f aca="false">IF(H21=0,"None",IF(I21&gt;=Notes!$B$7,"Critical",IF(I21&gt;=Notes!$B$8,"High",IF(I21&gt;=Notes!$B$9,"Medium","Low"))))</f>
        <v>High</v>
      </c>
      <c r="K21" s="2" t="n">
        <f aca="false">COUNTIF('Improvement Actions'!$C$2:$C$73,B21)</f>
        <v>1</v>
      </c>
    </row>
    <row r="22" customFormat="false" ht="15" hidden="false" customHeight="false" outlineLevel="0" collapsed="false">
      <c r="A22" s="2" t="s">
        <v>56</v>
      </c>
      <c r="B22" s="2" t="s">
        <v>57</v>
      </c>
      <c r="C22" s="3" t="s">
        <v>58</v>
      </c>
      <c r="D22" s="4" t="n">
        <v>1</v>
      </c>
      <c r="E22" s="4" t="n">
        <v>3</v>
      </c>
      <c r="F22" s="2" t="n">
        <f aca="false">MAX(0,E22-D22)</f>
        <v>2</v>
      </c>
      <c r="G22" s="2" t="str">
        <f aca="false">IF(F22&gt;=2,"Yes","No")</f>
        <v>Yes</v>
      </c>
      <c r="H22" s="2" t="n">
        <f aca="false">COUNTIF('Gap Register'!$C$2:$C$40,B22)</f>
        <v>2</v>
      </c>
      <c r="I22" s="2" t="n">
        <f aca="false">_xlfn.MAXIFS('Gap Register'!$N$2:$N$40,'Gap Register'!$C$2:$C$40,B22)</f>
        <v>20</v>
      </c>
      <c r="J22" s="2" t="str">
        <f aca="false">IF(H22=0,"None",IF(I22&gt;=Notes!$B$7,"Critical",IF(I22&gt;=Notes!$B$8,"High",IF(I22&gt;=Notes!$B$9,"Medium","Low"))))</f>
        <v>Critical</v>
      </c>
      <c r="K22" s="2" t="n">
        <f aca="false">COUNTIF('Improvement Actions'!$C$2:$C$73,B22)</f>
        <v>4</v>
      </c>
    </row>
    <row r="23" customFormat="false" ht="15" hidden="false" customHeight="false" outlineLevel="0" collapsed="false">
      <c r="A23" s="2" t="s">
        <v>56</v>
      </c>
      <c r="B23" s="2" t="s">
        <v>59</v>
      </c>
      <c r="C23" s="3" t="s">
        <v>60</v>
      </c>
      <c r="D23" s="4" t="n">
        <v>1</v>
      </c>
      <c r="E23" s="4" t="n">
        <v>2</v>
      </c>
      <c r="F23" s="2" t="n">
        <f aca="false">MAX(0,E23-D23)</f>
        <v>1</v>
      </c>
      <c r="G23" s="2" t="str">
        <f aca="false">IF(F23&gt;=2,"Yes","No")</f>
        <v>No</v>
      </c>
      <c r="H23" s="2" t="n">
        <f aca="false">COUNTIF('Gap Register'!$C$2:$C$40,B23)</f>
        <v>1</v>
      </c>
      <c r="I23" s="2" t="n">
        <f aca="false">_xlfn.MAXIFS('Gap Register'!$N$2:$N$40,'Gap Register'!$C$2:$C$40,B23)</f>
        <v>9</v>
      </c>
      <c r="J23" s="2" t="str">
        <f aca="false">IF(H23=0,"None",IF(I23&gt;=Notes!$B$7,"Critical",IF(I23&gt;=Notes!$B$8,"High",IF(I23&gt;=Notes!$B$9,"Medium","Low"))))</f>
        <v>Medium</v>
      </c>
      <c r="K23" s="2" t="n">
        <f aca="false">COUNTIF('Improvement Actions'!$C$2:$C$73,B23)</f>
        <v>1</v>
      </c>
    </row>
    <row r="24" customFormat="false" ht="15" hidden="false" customHeight="false" outlineLevel="0" collapsed="false">
      <c r="A24" s="5" t="s">
        <v>61</v>
      </c>
      <c r="H24" s="5" t="n">
        <f aca="false">SUM(H2:H23)</f>
        <v>39</v>
      </c>
      <c r="K24" s="5" t="n">
        <f aca="false">SUM(K2:K23)</f>
        <v>72</v>
      </c>
    </row>
  </sheetData>
  <conditionalFormatting sqref="J2:J23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0"/>
  </cols>
  <sheetData>
    <row r="1" customFormat="false" ht="32.8" hidden="false" customHeight="false" outlineLevel="0" collapsed="false">
      <c r="A1" s="6" t="s">
        <v>62</v>
      </c>
    </row>
    <row r="2" customFormat="false" ht="23.85" hidden="false" customHeight="false" outlineLevel="0" collapsed="false">
      <c r="A2" s="7" t="s">
        <v>63</v>
      </c>
      <c r="B2" s="7" t="s">
        <v>64</v>
      </c>
    </row>
    <row r="3" customFormat="false" ht="15" hidden="false" customHeight="false" outlineLevel="0" collapsed="false">
      <c r="A3" s="7" t="s">
        <v>65</v>
      </c>
      <c r="B3" s="7" t="s">
        <v>66</v>
      </c>
    </row>
    <row r="4" customFormat="false" ht="15" hidden="false" customHeight="false" outlineLevel="0" collapsed="false">
      <c r="A4" s="7" t="s">
        <v>67</v>
      </c>
      <c r="B4" s="7" t="s">
        <v>68</v>
      </c>
    </row>
    <row r="5" customFormat="false" ht="15" hidden="false" customHeight="false" outlineLevel="0" collapsed="false">
      <c r="A5" s="8"/>
    </row>
    <row r="6" customFormat="false" ht="15" hidden="false" customHeight="false" outlineLevel="0" collapsed="false">
      <c r="A6" s="8" t="s">
        <v>69</v>
      </c>
      <c r="B6" s="8" t="s">
        <v>70</v>
      </c>
    </row>
    <row r="7" customFormat="false" ht="15" hidden="false" customHeight="false" outlineLevel="0" collapsed="false">
      <c r="A7" s="7" t="s">
        <v>71</v>
      </c>
      <c r="B7" s="9" t="n">
        <v>20</v>
      </c>
    </row>
    <row r="8" customFormat="false" ht="15" hidden="false" customHeight="false" outlineLevel="0" collapsed="false">
      <c r="A8" s="7" t="s">
        <v>72</v>
      </c>
      <c r="B8" s="9" t="n">
        <v>10</v>
      </c>
    </row>
    <row r="9" customFormat="false" ht="15" hidden="false" customHeight="false" outlineLevel="0" collapsed="false">
      <c r="A9" s="7" t="s">
        <v>73</v>
      </c>
      <c r="B9" s="9" t="n">
        <v>5</v>
      </c>
    </row>
    <row r="10" customFormat="false" ht="15" hidden="false" customHeight="false" outlineLevel="0" collapsed="false">
      <c r="A10" s="7" t="s">
        <v>74</v>
      </c>
      <c r="B10" s="9" t="n">
        <v>1</v>
      </c>
    </row>
    <row r="11" customFormat="false" ht="15" hidden="false" customHeight="false" outlineLevel="0" collapsed="false">
      <c r="A11" s="8"/>
    </row>
    <row r="12" customFormat="false" ht="15" hidden="false" customHeight="false" outlineLevel="0" collapsed="false">
      <c r="A12" s="7" t="s">
        <v>75</v>
      </c>
      <c r="B12" s="7" t="s">
        <v>76</v>
      </c>
    </row>
    <row r="13" customFormat="false" ht="15" hidden="false" customHeight="false" outlineLevel="0" collapsed="false">
      <c r="A13" s="7" t="s">
        <v>77</v>
      </c>
      <c r="B13" s="7" t="s">
        <v>78</v>
      </c>
    </row>
    <row r="14" customFormat="false" ht="15" hidden="false" customHeight="false" outlineLevel="0" collapsed="false">
      <c r="A14" s="7" t="s">
        <v>79</v>
      </c>
      <c r="B14" s="7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26"/>
    <col collapsed="false" customWidth="true" hidden="false" outlineLevel="0" max="5" min="5" style="0" width="16"/>
    <col collapsed="false" customWidth="true" hidden="false" outlineLevel="0" max="6" min="6" style="0" width="36"/>
    <col collapsed="false" customWidth="true" hidden="false" outlineLevel="0" max="7" min="7" style="0" width="60"/>
    <col collapsed="false" customWidth="true" hidden="false" outlineLevel="0" max="8" min="8" style="0" width="56"/>
    <col collapsed="false" customWidth="true" hidden="false" outlineLevel="0" max="9" min="9" style="0" width="26"/>
    <col collapsed="false" customWidth="true" hidden="false" outlineLevel="0" max="10" min="10" style="0" width="12"/>
    <col collapsed="false" customWidth="true" hidden="false" outlineLevel="0" max="13" min="11" style="0" width="11"/>
    <col collapsed="false" customWidth="true" hidden="false" outlineLevel="0" max="14" min="14" style="0" width="8"/>
    <col collapsed="false" customWidth="true" hidden="false" outlineLevel="0" max="15" min="15" style="0" width="10"/>
  </cols>
  <sheetData>
    <row r="1" customFormat="false" ht="31.5" hidden="false" customHeight="true" outlineLevel="0" collapsed="false">
      <c r="A1" s="1" t="s">
        <v>81</v>
      </c>
      <c r="B1" s="1" t="s">
        <v>0</v>
      </c>
      <c r="C1" s="1" t="s">
        <v>1</v>
      </c>
      <c r="D1" s="1" t="s">
        <v>2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</row>
    <row r="2" customFormat="false" ht="23.85" hidden="false" customHeight="false" outlineLevel="0" collapsed="false">
      <c r="A2" s="2" t="s">
        <v>93</v>
      </c>
      <c r="B2" s="2" t="s">
        <v>11</v>
      </c>
      <c r="C2" s="2" t="s">
        <v>12</v>
      </c>
      <c r="D2" s="3" t="s">
        <v>13</v>
      </c>
      <c r="E2" s="2" t="s">
        <v>94</v>
      </c>
      <c r="F2" s="3" t="s">
        <v>95</v>
      </c>
      <c r="G2" s="3" t="s">
        <v>96</v>
      </c>
      <c r="H2" s="3" t="s">
        <v>97</v>
      </c>
      <c r="I2" s="3" t="s">
        <v>98</v>
      </c>
      <c r="J2" s="2" t="s">
        <v>99</v>
      </c>
      <c r="K2" s="4" t="n">
        <v>3</v>
      </c>
      <c r="L2" s="4" t="n">
        <v>4</v>
      </c>
      <c r="M2" s="2" t="s">
        <v>100</v>
      </c>
      <c r="N2" s="2" t="n">
        <f aca="false">K2*L2</f>
        <v>12</v>
      </c>
      <c r="O2" s="2" t="str">
        <f aca="false">IF(N2&gt;=Notes!$B$7,"Critical",IF(N2&gt;=Notes!$B$8,"High",IF(N2&gt;=Notes!$B$9,"Medium","Low")))</f>
        <v>High</v>
      </c>
    </row>
    <row r="3" customFormat="false" ht="23.85" hidden="false" customHeight="false" outlineLevel="0" collapsed="false">
      <c r="A3" s="2" t="s">
        <v>101</v>
      </c>
      <c r="B3" s="2" t="s">
        <v>11</v>
      </c>
      <c r="C3" s="2" t="s">
        <v>12</v>
      </c>
      <c r="D3" s="3" t="s">
        <v>13</v>
      </c>
      <c r="E3" s="2" t="s">
        <v>94</v>
      </c>
      <c r="F3" s="3" t="s">
        <v>102</v>
      </c>
      <c r="G3" s="3" t="s">
        <v>103</v>
      </c>
      <c r="H3" s="3" t="s">
        <v>104</v>
      </c>
      <c r="I3" s="3" t="s">
        <v>105</v>
      </c>
      <c r="J3" s="2" t="s">
        <v>99</v>
      </c>
      <c r="K3" s="4" t="n">
        <v>3</v>
      </c>
      <c r="L3" s="4" t="n">
        <v>4</v>
      </c>
      <c r="M3" s="2" t="s">
        <v>106</v>
      </c>
      <c r="N3" s="2" t="n">
        <f aca="false">K3*L3</f>
        <v>12</v>
      </c>
      <c r="O3" s="2" t="str">
        <f aca="false">IF(N3&gt;=Notes!$B$7,"Critical",IF(N3&gt;=Notes!$B$8,"High",IF(N3&gt;=Notes!$B$9,"Medium","Low")))</f>
        <v>High</v>
      </c>
    </row>
    <row r="4" customFormat="false" ht="35.05" hidden="false" customHeight="false" outlineLevel="0" collapsed="false">
      <c r="A4" s="2" t="s">
        <v>107</v>
      </c>
      <c r="B4" s="2" t="s">
        <v>11</v>
      </c>
      <c r="C4" s="2" t="s">
        <v>14</v>
      </c>
      <c r="D4" s="3" t="s">
        <v>15</v>
      </c>
      <c r="E4" s="2" t="s">
        <v>94</v>
      </c>
      <c r="F4" s="3" t="s">
        <v>108</v>
      </c>
      <c r="G4" s="3" t="s">
        <v>109</v>
      </c>
      <c r="H4" s="3" t="s">
        <v>110</v>
      </c>
      <c r="I4" s="3" t="s">
        <v>111</v>
      </c>
      <c r="J4" s="2" t="s">
        <v>112</v>
      </c>
      <c r="K4" s="4" t="n">
        <v>4</v>
      </c>
      <c r="L4" s="4" t="n">
        <v>4</v>
      </c>
      <c r="M4" s="2" t="s">
        <v>113</v>
      </c>
      <c r="N4" s="2" t="n">
        <f aca="false">K4*L4</f>
        <v>16</v>
      </c>
      <c r="O4" s="2" t="str">
        <f aca="false">IF(N4&gt;=Notes!$B$7,"Critical",IF(N4&gt;=Notes!$B$8,"High",IF(N4&gt;=Notes!$B$9,"Medium","Low")))</f>
        <v>High</v>
      </c>
    </row>
    <row r="5" customFormat="false" ht="23.85" hidden="false" customHeight="false" outlineLevel="0" collapsed="false">
      <c r="A5" s="2" t="s">
        <v>114</v>
      </c>
      <c r="B5" s="2" t="s">
        <v>11</v>
      </c>
      <c r="C5" s="2" t="s">
        <v>14</v>
      </c>
      <c r="D5" s="3" t="s">
        <v>15</v>
      </c>
      <c r="E5" s="2" t="s">
        <v>115</v>
      </c>
      <c r="F5" s="3" t="s">
        <v>116</v>
      </c>
      <c r="G5" s="3" t="s">
        <v>117</v>
      </c>
      <c r="H5" s="3" t="s">
        <v>118</v>
      </c>
      <c r="I5" s="3" t="s">
        <v>119</v>
      </c>
      <c r="J5" s="2" t="s">
        <v>112</v>
      </c>
      <c r="K5" s="4" t="n">
        <v>3</v>
      </c>
      <c r="L5" s="4" t="n">
        <v>3</v>
      </c>
      <c r="M5" s="2" t="s">
        <v>113</v>
      </c>
      <c r="N5" s="2" t="n">
        <f aca="false">K5*L5</f>
        <v>9</v>
      </c>
      <c r="O5" s="2" t="str">
        <f aca="false">IF(N5&gt;=Notes!$B$7,"Critical",IF(N5&gt;=Notes!$B$8,"High",IF(N5&gt;=Notes!$B$9,"Medium","Low")))</f>
        <v>Medium</v>
      </c>
    </row>
    <row r="6" customFormat="false" ht="23.85" hidden="false" customHeight="false" outlineLevel="0" collapsed="false">
      <c r="A6" s="2" t="s">
        <v>120</v>
      </c>
      <c r="B6" s="2" t="s">
        <v>11</v>
      </c>
      <c r="C6" s="2" t="s">
        <v>16</v>
      </c>
      <c r="D6" s="3" t="s">
        <v>17</v>
      </c>
      <c r="E6" s="2" t="s">
        <v>94</v>
      </c>
      <c r="F6" s="3" t="s">
        <v>121</v>
      </c>
      <c r="G6" s="3" t="s">
        <v>122</v>
      </c>
      <c r="H6" s="3" t="s">
        <v>123</v>
      </c>
      <c r="I6" s="3" t="s">
        <v>124</v>
      </c>
      <c r="J6" s="2" t="s">
        <v>112</v>
      </c>
      <c r="K6" s="4" t="n">
        <v>4</v>
      </c>
      <c r="L6" s="4" t="n">
        <v>4</v>
      </c>
      <c r="M6" s="2" t="s">
        <v>106</v>
      </c>
      <c r="N6" s="2" t="n">
        <f aca="false">K6*L6</f>
        <v>16</v>
      </c>
      <c r="O6" s="2" t="str">
        <f aca="false">IF(N6&gt;=Notes!$B$7,"Critical",IF(N6&gt;=Notes!$B$8,"High",IF(N6&gt;=Notes!$B$9,"Medium","Low")))</f>
        <v>High</v>
      </c>
    </row>
    <row r="7" customFormat="false" ht="35.05" hidden="false" customHeight="false" outlineLevel="0" collapsed="false">
      <c r="A7" s="2" t="s">
        <v>125</v>
      </c>
      <c r="B7" s="2" t="s">
        <v>11</v>
      </c>
      <c r="C7" s="2" t="s">
        <v>16</v>
      </c>
      <c r="D7" s="3" t="s">
        <v>17</v>
      </c>
      <c r="E7" s="2" t="s">
        <v>94</v>
      </c>
      <c r="F7" s="3" t="s">
        <v>126</v>
      </c>
      <c r="G7" s="3" t="s">
        <v>127</v>
      </c>
      <c r="H7" s="3" t="s">
        <v>128</v>
      </c>
      <c r="I7" s="3" t="s">
        <v>129</v>
      </c>
      <c r="J7" s="2" t="s">
        <v>112</v>
      </c>
      <c r="K7" s="4" t="n">
        <v>3</v>
      </c>
      <c r="L7" s="4" t="n">
        <v>4</v>
      </c>
      <c r="M7" s="2" t="s">
        <v>106</v>
      </c>
      <c r="N7" s="2" t="n">
        <f aca="false">K7*L7</f>
        <v>12</v>
      </c>
      <c r="O7" s="2" t="str">
        <f aca="false">IF(N7&gt;=Notes!$B$7,"Critical",IF(N7&gt;=Notes!$B$8,"High",IF(N7&gt;=Notes!$B$9,"Medium","Low")))</f>
        <v>High</v>
      </c>
    </row>
    <row r="8" customFormat="false" ht="23.85" hidden="false" customHeight="false" outlineLevel="0" collapsed="false">
      <c r="A8" s="2" t="s">
        <v>130</v>
      </c>
      <c r="B8" s="2" t="s">
        <v>11</v>
      </c>
      <c r="C8" s="2" t="s">
        <v>18</v>
      </c>
      <c r="D8" s="3" t="s">
        <v>19</v>
      </c>
      <c r="E8" s="2" t="s">
        <v>94</v>
      </c>
      <c r="F8" s="3" t="s">
        <v>131</v>
      </c>
      <c r="G8" s="3" t="s">
        <v>132</v>
      </c>
      <c r="H8" s="3" t="s">
        <v>133</v>
      </c>
      <c r="I8" s="3" t="s">
        <v>134</v>
      </c>
      <c r="J8" s="2" t="s">
        <v>112</v>
      </c>
      <c r="K8" s="4" t="n">
        <v>4</v>
      </c>
      <c r="L8" s="4" t="n">
        <v>3</v>
      </c>
      <c r="M8" s="2" t="s">
        <v>106</v>
      </c>
      <c r="N8" s="2" t="n">
        <f aca="false">K8*L8</f>
        <v>12</v>
      </c>
      <c r="O8" s="2" t="str">
        <f aca="false">IF(N8&gt;=Notes!$B$7,"Critical",IF(N8&gt;=Notes!$B$8,"High",IF(N8&gt;=Notes!$B$9,"Medium","Low")))</f>
        <v>High</v>
      </c>
    </row>
    <row r="9" customFormat="false" ht="23.85" hidden="false" customHeight="false" outlineLevel="0" collapsed="false">
      <c r="A9" s="2" t="s">
        <v>135</v>
      </c>
      <c r="B9" s="2" t="s">
        <v>11</v>
      </c>
      <c r="C9" s="2" t="s">
        <v>18</v>
      </c>
      <c r="D9" s="3" t="s">
        <v>19</v>
      </c>
      <c r="E9" s="2" t="s">
        <v>94</v>
      </c>
      <c r="F9" s="3" t="s">
        <v>136</v>
      </c>
      <c r="G9" s="3" t="s">
        <v>137</v>
      </c>
      <c r="H9" s="3" t="s">
        <v>138</v>
      </c>
      <c r="I9" s="3" t="s">
        <v>139</v>
      </c>
      <c r="J9" s="2" t="s">
        <v>99</v>
      </c>
      <c r="K9" s="4" t="n">
        <v>4</v>
      </c>
      <c r="L9" s="4" t="n">
        <v>4</v>
      </c>
      <c r="M9" s="2" t="s">
        <v>106</v>
      </c>
      <c r="N9" s="2" t="n">
        <f aca="false">K9*L9</f>
        <v>16</v>
      </c>
      <c r="O9" s="2" t="str">
        <f aca="false">IF(N9&gt;=Notes!$B$7,"Critical",IF(N9&gt;=Notes!$B$8,"High",IF(N9&gt;=Notes!$B$9,"Medium","Low")))</f>
        <v>High</v>
      </c>
    </row>
    <row r="10" customFormat="false" ht="23.85" hidden="false" customHeight="false" outlineLevel="0" collapsed="false">
      <c r="A10" s="2" t="s">
        <v>140</v>
      </c>
      <c r="B10" s="2" t="s">
        <v>11</v>
      </c>
      <c r="C10" s="2" t="s">
        <v>20</v>
      </c>
      <c r="D10" s="3" t="s">
        <v>21</v>
      </c>
      <c r="E10" s="2" t="s">
        <v>94</v>
      </c>
      <c r="F10" s="3" t="s">
        <v>141</v>
      </c>
      <c r="G10" s="3" t="s">
        <v>142</v>
      </c>
      <c r="H10" s="3" t="s">
        <v>143</v>
      </c>
      <c r="I10" s="3" t="s">
        <v>144</v>
      </c>
      <c r="J10" s="2" t="s">
        <v>112</v>
      </c>
      <c r="K10" s="4" t="n">
        <v>3</v>
      </c>
      <c r="L10" s="4" t="n">
        <v>3</v>
      </c>
      <c r="M10" s="2" t="s">
        <v>113</v>
      </c>
      <c r="N10" s="2" t="n">
        <f aca="false">K10*L10</f>
        <v>9</v>
      </c>
      <c r="O10" s="2" t="str">
        <f aca="false">IF(N10&gt;=Notes!$B$7,"Critical",IF(N10&gt;=Notes!$B$8,"High",IF(N10&gt;=Notes!$B$9,"Medium","Low")))</f>
        <v>Medium</v>
      </c>
    </row>
    <row r="11" customFormat="false" ht="23.85" hidden="false" customHeight="false" outlineLevel="0" collapsed="false">
      <c r="A11" s="2" t="s">
        <v>145</v>
      </c>
      <c r="B11" s="2" t="s">
        <v>11</v>
      </c>
      <c r="C11" s="2" t="s">
        <v>22</v>
      </c>
      <c r="D11" s="3" t="s">
        <v>23</v>
      </c>
      <c r="E11" s="2" t="s">
        <v>94</v>
      </c>
      <c r="F11" s="3" t="s">
        <v>146</v>
      </c>
      <c r="G11" s="3" t="s">
        <v>147</v>
      </c>
      <c r="H11" s="3" t="s">
        <v>148</v>
      </c>
      <c r="I11" s="3" t="s">
        <v>149</v>
      </c>
      <c r="J11" s="2" t="s">
        <v>99</v>
      </c>
      <c r="K11" s="4" t="n">
        <v>4</v>
      </c>
      <c r="L11" s="4" t="n">
        <v>5</v>
      </c>
      <c r="M11" s="2" t="s">
        <v>150</v>
      </c>
      <c r="N11" s="2" t="n">
        <f aca="false">K11*L11</f>
        <v>20</v>
      </c>
      <c r="O11" s="2" t="str">
        <f aca="false">IF(N11&gt;=Notes!$B$7,"Critical",IF(N11&gt;=Notes!$B$8,"High",IF(N11&gt;=Notes!$B$9,"Medium","Low")))</f>
        <v>Critical</v>
      </c>
    </row>
    <row r="12" customFormat="false" ht="23.85" hidden="false" customHeight="false" outlineLevel="0" collapsed="false">
      <c r="A12" s="2" t="s">
        <v>151</v>
      </c>
      <c r="B12" s="2" t="s">
        <v>11</v>
      </c>
      <c r="C12" s="2" t="s">
        <v>22</v>
      </c>
      <c r="D12" s="3" t="s">
        <v>23</v>
      </c>
      <c r="E12" s="2" t="s">
        <v>94</v>
      </c>
      <c r="F12" s="3" t="s">
        <v>152</v>
      </c>
      <c r="G12" s="3" t="s">
        <v>153</v>
      </c>
      <c r="H12" s="3" t="s">
        <v>154</v>
      </c>
      <c r="I12" s="3" t="s">
        <v>155</v>
      </c>
      <c r="J12" s="2" t="s">
        <v>99</v>
      </c>
      <c r="K12" s="4" t="n">
        <v>4</v>
      </c>
      <c r="L12" s="4" t="n">
        <v>5</v>
      </c>
      <c r="M12" s="2" t="s">
        <v>106</v>
      </c>
      <c r="N12" s="2" t="n">
        <f aca="false">K12*L12</f>
        <v>20</v>
      </c>
      <c r="O12" s="2" t="str">
        <f aca="false">IF(N12&gt;=Notes!$B$7,"Critical",IF(N12&gt;=Notes!$B$8,"High",IF(N12&gt;=Notes!$B$9,"Medium","Low")))</f>
        <v>Critical</v>
      </c>
    </row>
    <row r="13" customFormat="false" ht="23.85" hidden="false" customHeight="false" outlineLevel="0" collapsed="false">
      <c r="A13" s="2" t="s">
        <v>156</v>
      </c>
      <c r="B13" s="2" t="s">
        <v>24</v>
      </c>
      <c r="C13" s="2" t="s">
        <v>25</v>
      </c>
      <c r="D13" s="3" t="s">
        <v>26</v>
      </c>
      <c r="E13" s="2" t="s">
        <v>94</v>
      </c>
      <c r="F13" s="3" t="s">
        <v>157</v>
      </c>
      <c r="G13" s="3" t="s">
        <v>158</v>
      </c>
      <c r="H13" s="3" t="s">
        <v>159</v>
      </c>
      <c r="I13" s="3" t="s">
        <v>160</v>
      </c>
      <c r="J13" s="2" t="s">
        <v>99</v>
      </c>
      <c r="K13" s="4" t="n">
        <v>3</v>
      </c>
      <c r="L13" s="4" t="n">
        <v>4</v>
      </c>
      <c r="M13" s="2" t="s">
        <v>100</v>
      </c>
      <c r="N13" s="2" t="n">
        <f aca="false">K13*L13</f>
        <v>12</v>
      </c>
      <c r="O13" s="2" t="str">
        <f aca="false">IF(N13&gt;=Notes!$B$7,"Critical",IF(N13&gt;=Notes!$B$8,"High",IF(N13&gt;=Notes!$B$9,"Medium","Low")))</f>
        <v>High</v>
      </c>
    </row>
    <row r="14" customFormat="false" ht="23.85" hidden="false" customHeight="false" outlineLevel="0" collapsed="false">
      <c r="A14" s="2" t="s">
        <v>161</v>
      </c>
      <c r="B14" s="2" t="s">
        <v>24</v>
      </c>
      <c r="C14" s="2" t="s">
        <v>25</v>
      </c>
      <c r="D14" s="3" t="s">
        <v>26</v>
      </c>
      <c r="E14" s="2" t="s">
        <v>94</v>
      </c>
      <c r="F14" s="3" t="s">
        <v>162</v>
      </c>
      <c r="G14" s="3" t="s">
        <v>163</v>
      </c>
      <c r="H14" s="3" t="s">
        <v>164</v>
      </c>
      <c r="I14" s="3" t="s">
        <v>165</v>
      </c>
      <c r="J14" s="2" t="s">
        <v>99</v>
      </c>
      <c r="K14" s="4" t="n">
        <v>3</v>
      </c>
      <c r="L14" s="4" t="n">
        <v>3</v>
      </c>
      <c r="M14" s="2" t="s">
        <v>106</v>
      </c>
      <c r="N14" s="2" t="n">
        <f aca="false">K14*L14</f>
        <v>9</v>
      </c>
      <c r="O14" s="2" t="str">
        <f aca="false">IF(N14&gt;=Notes!$B$7,"Critical",IF(N14&gt;=Notes!$B$8,"High",IF(N14&gt;=Notes!$B$9,"Medium","Low")))</f>
        <v>Medium</v>
      </c>
    </row>
    <row r="15" customFormat="false" ht="23.85" hidden="false" customHeight="false" outlineLevel="0" collapsed="false">
      <c r="A15" s="2" t="s">
        <v>166</v>
      </c>
      <c r="B15" s="2" t="s">
        <v>24</v>
      </c>
      <c r="C15" s="2" t="s">
        <v>27</v>
      </c>
      <c r="D15" s="3" t="s">
        <v>28</v>
      </c>
      <c r="E15" s="2" t="s">
        <v>94</v>
      </c>
      <c r="F15" s="3" t="s">
        <v>167</v>
      </c>
      <c r="G15" s="3" t="s">
        <v>168</v>
      </c>
      <c r="H15" s="3" t="s">
        <v>169</v>
      </c>
      <c r="I15" s="3" t="s">
        <v>170</v>
      </c>
      <c r="J15" s="2" t="s">
        <v>171</v>
      </c>
      <c r="K15" s="4" t="n">
        <v>4</v>
      </c>
      <c r="L15" s="4" t="n">
        <v>5</v>
      </c>
      <c r="M15" s="2" t="s">
        <v>106</v>
      </c>
      <c r="N15" s="2" t="n">
        <f aca="false">K15*L15</f>
        <v>20</v>
      </c>
      <c r="O15" s="2" t="str">
        <f aca="false">IF(N15&gt;=Notes!$B$7,"Critical",IF(N15&gt;=Notes!$B$8,"High",IF(N15&gt;=Notes!$B$9,"Medium","Low")))</f>
        <v>Critical</v>
      </c>
    </row>
    <row r="16" customFormat="false" ht="23.85" hidden="false" customHeight="false" outlineLevel="0" collapsed="false">
      <c r="A16" s="2" t="s">
        <v>172</v>
      </c>
      <c r="B16" s="2" t="s">
        <v>24</v>
      </c>
      <c r="C16" s="2" t="s">
        <v>27</v>
      </c>
      <c r="D16" s="3" t="s">
        <v>28</v>
      </c>
      <c r="E16" s="2" t="s">
        <v>115</v>
      </c>
      <c r="F16" s="3" t="s">
        <v>173</v>
      </c>
      <c r="G16" s="3" t="s">
        <v>174</v>
      </c>
      <c r="H16" s="3" t="s">
        <v>175</v>
      </c>
      <c r="I16" s="3" t="s">
        <v>176</v>
      </c>
      <c r="J16" s="2" t="s">
        <v>99</v>
      </c>
      <c r="K16" s="4" t="n">
        <v>3</v>
      </c>
      <c r="L16" s="4" t="n">
        <v>4</v>
      </c>
      <c r="M16" s="2" t="s">
        <v>106</v>
      </c>
      <c r="N16" s="2" t="n">
        <f aca="false">K16*L16</f>
        <v>12</v>
      </c>
      <c r="O16" s="2" t="str">
        <f aca="false">IF(N16&gt;=Notes!$B$7,"Critical",IF(N16&gt;=Notes!$B$8,"High",IF(N16&gt;=Notes!$B$9,"Medium","Low")))</f>
        <v>High</v>
      </c>
    </row>
    <row r="17" customFormat="false" ht="23.85" hidden="false" customHeight="false" outlineLevel="0" collapsed="false">
      <c r="A17" s="2" t="s">
        <v>177</v>
      </c>
      <c r="B17" s="2" t="s">
        <v>24</v>
      </c>
      <c r="C17" s="2" t="s">
        <v>29</v>
      </c>
      <c r="D17" s="3" t="s">
        <v>30</v>
      </c>
      <c r="E17" s="2" t="s">
        <v>94</v>
      </c>
      <c r="F17" s="3" t="s">
        <v>178</v>
      </c>
      <c r="G17" s="3" t="s">
        <v>179</v>
      </c>
      <c r="H17" s="3" t="s">
        <v>180</v>
      </c>
      <c r="I17" s="3" t="s">
        <v>181</v>
      </c>
      <c r="J17" s="2" t="s">
        <v>182</v>
      </c>
      <c r="K17" s="4" t="n">
        <v>3</v>
      </c>
      <c r="L17" s="4" t="n">
        <v>4</v>
      </c>
      <c r="M17" s="2" t="s">
        <v>106</v>
      </c>
      <c r="N17" s="2" t="n">
        <f aca="false">K17*L17</f>
        <v>12</v>
      </c>
      <c r="O17" s="2" t="str">
        <f aca="false">IF(N17&gt;=Notes!$B$7,"Critical",IF(N17&gt;=Notes!$B$8,"High",IF(N17&gt;=Notes!$B$9,"Medium","Low")))</f>
        <v>High</v>
      </c>
    </row>
    <row r="18" customFormat="false" ht="35.05" hidden="false" customHeight="false" outlineLevel="0" collapsed="false">
      <c r="A18" s="2" t="s">
        <v>183</v>
      </c>
      <c r="B18" s="2" t="s">
        <v>31</v>
      </c>
      <c r="C18" s="2" t="s">
        <v>32</v>
      </c>
      <c r="D18" s="3" t="s">
        <v>33</v>
      </c>
      <c r="E18" s="2" t="s">
        <v>94</v>
      </c>
      <c r="F18" s="3" t="s">
        <v>184</v>
      </c>
      <c r="G18" s="3" t="s">
        <v>185</v>
      </c>
      <c r="H18" s="3" t="s">
        <v>186</v>
      </c>
      <c r="I18" s="3" t="s">
        <v>187</v>
      </c>
      <c r="J18" s="2" t="s">
        <v>171</v>
      </c>
      <c r="K18" s="4" t="n">
        <v>4</v>
      </c>
      <c r="L18" s="4" t="n">
        <v>5</v>
      </c>
      <c r="M18" s="2" t="s">
        <v>106</v>
      </c>
      <c r="N18" s="2" t="n">
        <f aca="false">K18*L18</f>
        <v>20</v>
      </c>
      <c r="O18" s="2" t="str">
        <f aca="false">IF(N18&gt;=Notes!$B$7,"Critical",IF(N18&gt;=Notes!$B$8,"High",IF(N18&gt;=Notes!$B$9,"Medium","Low")))</f>
        <v>Critical</v>
      </c>
    </row>
    <row r="19" customFormat="false" ht="35.05" hidden="false" customHeight="false" outlineLevel="0" collapsed="false">
      <c r="A19" s="2" t="s">
        <v>188</v>
      </c>
      <c r="B19" s="2" t="s">
        <v>31</v>
      </c>
      <c r="C19" s="2" t="s">
        <v>32</v>
      </c>
      <c r="D19" s="3" t="s">
        <v>33</v>
      </c>
      <c r="E19" s="2" t="s">
        <v>94</v>
      </c>
      <c r="F19" s="3" t="s">
        <v>189</v>
      </c>
      <c r="G19" s="3" t="s">
        <v>190</v>
      </c>
      <c r="H19" s="3" t="s">
        <v>191</v>
      </c>
      <c r="I19" s="3" t="s">
        <v>192</v>
      </c>
      <c r="J19" s="2" t="s">
        <v>99</v>
      </c>
      <c r="K19" s="4" t="n">
        <v>3</v>
      </c>
      <c r="L19" s="4" t="n">
        <v>5</v>
      </c>
      <c r="M19" s="2" t="s">
        <v>150</v>
      </c>
      <c r="N19" s="2" t="n">
        <f aca="false">K19*L19</f>
        <v>15</v>
      </c>
      <c r="O19" s="2" t="str">
        <f aca="false">IF(N19&gt;=Notes!$B$7,"Critical",IF(N19&gt;=Notes!$B$8,"High",IF(N19&gt;=Notes!$B$9,"Medium","Low")))</f>
        <v>High</v>
      </c>
    </row>
    <row r="20" customFormat="false" ht="23.85" hidden="false" customHeight="false" outlineLevel="0" collapsed="false">
      <c r="A20" s="2" t="s">
        <v>193</v>
      </c>
      <c r="B20" s="2" t="s">
        <v>31</v>
      </c>
      <c r="C20" s="2" t="s">
        <v>34</v>
      </c>
      <c r="D20" s="3" t="s">
        <v>35</v>
      </c>
      <c r="E20" s="2" t="s">
        <v>94</v>
      </c>
      <c r="F20" s="3" t="s">
        <v>194</v>
      </c>
      <c r="G20" s="3" t="s">
        <v>195</v>
      </c>
      <c r="H20" s="3" t="s">
        <v>196</v>
      </c>
      <c r="I20" s="3" t="s">
        <v>197</v>
      </c>
      <c r="J20" s="2" t="s">
        <v>182</v>
      </c>
      <c r="K20" s="4" t="n">
        <v>2</v>
      </c>
      <c r="L20" s="4" t="n">
        <v>3</v>
      </c>
      <c r="M20" s="2" t="s">
        <v>106</v>
      </c>
      <c r="N20" s="2" t="n">
        <f aca="false">K20*L20</f>
        <v>6</v>
      </c>
      <c r="O20" s="2" t="str">
        <f aca="false">IF(N20&gt;=Notes!$B$7,"Critical",IF(N20&gt;=Notes!$B$8,"High",IF(N20&gt;=Notes!$B$9,"Medium","Low")))</f>
        <v>Medium</v>
      </c>
    </row>
    <row r="21" customFormat="false" ht="35.05" hidden="false" customHeight="false" outlineLevel="0" collapsed="false">
      <c r="A21" s="2" t="s">
        <v>198</v>
      </c>
      <c r="B21" s="2" t="s">
        <v>31</v>
      </c>
      <c r="C21" s="2" t="s">
        <v>36</v>
      </c>
      <c r="D21" s="3" t="s">
        <v>37</v>
      </c>
      <c r="E21" s="2" t="s">
        <v>94</v>
      </c>
      <c r="F21" s="3" t="s">
        <v>199</v>
      </c>
      <c r="G21" s="3" t="s">
        <v>200</v>
      </c>
      <c r="H21" s="3" t="s">
        <v>201</v>
      </c>
      <c r="I21" s="3" t="s">
        <v>202</v>
      </c>
      <c r="J21" s="2" t="s">
        <v>171</v>
      </c>
      <c r="K21" s="4" t="n">
        <v>4</v>
      </c>
      <c r="L21" s="4" t="n">
        <v>5</v>
      </c>
      <c r="M21" s="2" t="s">
        <v>106</v>
      </c>
      <c r="N21" s="2" t="n">
        <f aca="false">K21*L21</f>
        <v>20</v>
      </c>
      <c r="O21" s="2" t="str">
        <f aca="false">IF(N21&gt;=Notes!$B$7,"Critical",IF(N21&gt;=Notes!$B$8,"High",IF(N21&gt;=Notes!$B$9,"Medium","Low")))</f>
        <v>Critical</v>
      </c>
    </row>
    <row r="22" customFormat="false" ht="23.85" hidden="false" customHeight="false" outlineLevel="0" collapsed="false">
      <c r="A22" s="2" t="s">
        <v>203</v>
      </c>
      <c r="B22" s="2" t="s">
        <v>31</v>
      </c>
      <c r="C22" s="2" t="s">
        <v>36</v>
      </c>
      <c r="D22" s="3" t="s">
        <v>37</v>
      </c>
      <c r="E22" s="2" t="s">
        <v>94</v>
      </c>
      <c r="F22" s="3" t="s">
        <v>204</v>
      </c>
      <c r="G22" s="3" t="s">
        <v>205</v>
      </c>
      <c r="H22" s="3" t="s">
        <v>206</v>
      </c>
      <c r="I22" s="3" t="s">
        <v>207</v>
      </c>
      <c r="J22" s="2" t="s">
        <v>171</v>
      </c>
      <c r="K22" s="4" t="n">
        <v>3</v>
      </c>
      <c r="L22" s="4" t="n">
        <v>5</v>
      </c>
      <c r="M22" s="2" t="s">
        <v>150</v>
      </c>
      <c r="N22" s="2" t="n">
        <f aca="false">K22*L22</f>
        <v>15</v>
      </c>
      <c r="O22" s="2" t="str">
        <f aca="false">IF(N22&gt;=Notes!$B$7,"Critical",IF(N22&gt;=Notes!$B$8,"High",IF(N22&gt;=Notes!$B$9,"Medium","Low")))</f>
        <v>High</v>
      </c>
    </row>
    <row r="23" customFormat="false" ht="23.85" hidden="false" customHeight="false" outlineLevel="0" collapsed="false">
      <c r="A23" s="2" t="s">
        <v>208</v>
      </c>
      <c r="B23" s="2" t="s">
        <v>31</v>
      </c>
      <c r="C23" s="2" t="s">
        <v>38</v>
      </c>
      <c r="D23" s="3" t="s">
        <v>39</v>
      </c>
      <c r="E23" s="2" t="s">
        <v>94</v>
      </c>
      <c r="F23" s="3" t="s">
        <v>209</v>
      </c>
      <c r="G23" s="3" t="s">
        <v>210</v>
      </c>
      <c r="H23" s="3" t="s">
        <v>211</v>
      </c>
      <c r="I23" s="3" t="s">
        <v>212</v>
      </c>
      <c r="J23" s="2" t="s">
        <v>171</v>
      </c>
      <c r="K23" s="4" t="n">
        <v>4</v>
      </c>
      <c r="L23" s="4" t="n">
        <v>5</v>
      </c>
      <c r="M23" s="2" t="s">
        <v>106</v>
      </c>
      <c r="N23" s="2" t="n">
        <f aca="false">K23*L23</f>
        <v>20</v>
      </c>
      <c r="O23" s="2" t="str">
        <f aca="false">IF(N23&gt;=Notes!$B$7,"Critical",IF(N23&gt;=Notes!$B$8,"High",IF(N23&gt;=Notes!$B$9,"Medium","Low")))</f>
        <v>Critical</v>
      </c>
    </row>
    <row r="24" customFormat="false" ht="23.85" hidden="false" customHeight="false" outlineLevel="0" collapsed="false">
      <c r="A24" s="2" t="s">
        <v>213</v>
      </c>
      <c r="B24" s="2" t="s">
        <v>31</v>
      </c>
      <c r="C24" s="2" t="s">
        <v>38</v>
      </c>
      <c r="D24" s="3" t="s">
        <v>39</v>
      </c>
      <c r="E24" s="2" t="s">
        <v>94</v>
      </c>
      <c r="F24" s="3" t="s">
        <v>214</v>
      </c>
      <c r="G24" s="3" t="s">
        <v>215</v>
      </c>
      <c r="H24" s="3" t="s">
        <v>216</v>
      </c>
      <c r="I24" s="3" t="s">
        <v>217</v>
      </c>
      <c r="J24" s="2" t="s">
        <v>171</v>
      </c>
      <c r="K24" s="4" t="n">
        <v>4</v>
      </c>
      <c r="L24" s="4" t="n">
        <v>5</v>
      </c>
      <c r="M24" s="2" t="s">
        <v>218</v>
      </c>
      <c r="N24" s="2" t="n">
        <f aca="false">K24*L24</f>
        <v>20</v>
      </c>
      <c r="O24" s="2" t="str">
        <f aca="false">IF(N24&gt;=Notes!$B$7,"Critical",IF(N24&gt;=Notes!$B$8,"High",IF(N24&gt;=Notes!$B$9,"Medium","Low")))</f>
        <v>Critical</v>
      </c>
    </row>
    <row r="25" customFormat="false" ht="23.85" hidden="false" customHeight="false" outlineLevel="0" collapsed="false">
      <c r="A25" s="2" t="s">
        <v>219</v>
      </c>
      <c r="B25" s="2" t="s">
        <v>31</v>
      </c>
      <c r="C25" s="2" t="s">
        <v>40</v>
      </c>
      <c r="D25" s="3" t="s">
        <v>41</v>
      </c>
      <c r="E25" s="2" t="s">
        <v>94</v>
      </c>
      <c r="F25" s="3" t="s">
        <v>220</v>
      </c>
      <c r="G25" s="3" t="s">
        <v>221</v>
      </c>
      <c r="H25" s="3" t="s">
        <v>222</v>
      </c>
      <c r="I25" s="3" t="s">
        <v>223</v>
      </c>
      <c r="J25" s="2" t="s">
        <v>171</v>
      </c>
      <c r="K25" s="4" t="n">
        <v>4</v>
      </c>
      <c r="L25" s="4" t="n">
        <v>5</v>
      </c>
      <c r="M25" s="2" t="s">
        <v>106</v>
      </c>
      <c r="N25" s="2" t="n">
        <f aca="false">K25*L25</f>
        <v>20</v>
      </c>
      <c r="O25" s="2" t="str">
        <f aca="false">IF(N25&gt;=Notes!$B$7,"Critical",IF(N25&gt;=Notes!$B$8,"High",IF(N25&gt;=Notes!$B$9,"Medium","Low")))</f>
        <v>Critical</v>
      </c>
    </row>
    <row r="26" customFormat="false" ht="23.85" hidden="false" customHeight="false" outlineLevel="0" collapsed="false">
      <c r="A26" s="2" t="s">
        <v>224</v>
      </c>
      <c r="B26" s="2" t="s">
        <v>31</v>
      </c>
      <c r="C26" s="2" t="s">
        <v>40</v>
      </c>
      <c r="D26" s="3" t="s">
        <v>41</v>
      </c>
      <c r="E26" s="2" t="s">
        <v>94</v>
      </c>
      <c r="F26" s="3" t="s">
        <v>225</v>
      </c>
      <c r="G26" s="3" t="s">
        <v>226</v>
      </c>
      <c r="H26" s="3" t="s">
        <v>227</v>
      </c>
      <c r="I26" s="3" t="s">
        <v>228</v>
      </c>
      <c r="J26" s="2" t="s">
        <v>171</v>
      </c>
      <c r="K26" s="4" t="n">
        <v>3</v>
      </c>
      <c r="L26" s="4" t="n">
        <v>5</v>
      </c>
      <c r="M26" s="2" t="s">
        <v>106</v>
      </c>
      <c r="N26" s="2" t="n">
        <f aca="false">K26*L26</f>
        <v>15</v>
      </c>
      <c r="O26" s="2" t="str">
        <f aca="false">IF(N26&gt;=Notes!$B$7,"Critical",IF(N26&gt;=Notes!$B$8,"High",IF(N26&gt;=Notes!$B$9,"Medium","Low")))</f>
        <v>High</v>
      </c>
    </row>
    <row r="27" customFormat="false" ht="23.85" hidden="false" customHeight="false" outlineLevel="0" collapsed="false">
      <c r="A27" s="2" t="s">
        <v>229</v>
      </c>
      <c r="B27" s="2" t="s">
        <v>42</v>
      </c>
      <c r="C27" s="2" t="s">
        <v>43</v>
      </c>
      <c r="D27" s="3" t="s">
        <v>44</v>
      </c>
      <c r="E27" s="2" t="s">
        <v>94</v>
      </c>
      <c r="F27" s="3" t="s">
        <v>230</v>
      </c>
      <c r="G27" s="3" t="s">
        <v>231</v>
      </c>
      <c r="H27" s="3" t="s">
        <v>232</v>
      </c>
      <c r="I27" s="3" t="s">
        <v>233</v>
      </c>
      <c r="J27" s="2" t="s">
        <v>171</v>
      </c>
      <c r="K27" s="4" t="n">
        <v>4</v>
      </c>
      <c r="L27" s="4" t="n">
        <v>5</v>
      </c>
      <c r="M27" s="2" t="s">
        <v>106</v>
      </c>
      <c r="N27" s="2" t="n">
        <f aca="false">K27*L27</f>
        <v>20</v>
      </c>
      <c r="O27" s="2" t="str">
        <f aca="false">IF(N27&gt;=Notes!$B$7,"Critical",IF(N27&gt;=Notes!$B$8,"High",IF(N27&gt;=Notes!$B$9,"Medium","Low")))</f>
        <v>Critical</v>
      </c>
    </row>
    <row r="28" customFormat="false" ht="23.85" hidden="false" customHeight="false" outlineLevel="0" collapsed="false">
      <c r="A28" s="2" t="s">
        <v>234</v>
      </c>
      <c r="B28" s="2" t="s">
        <v>42</v>
      </c>
      <c r="C28" s="2" t="s">
        <v>43</v>
      </c>
      <c r="D28" s="3" t="s">
        <v>44</v>
      </c>
      <c r="E28" s="2" t="s">
        <v>94</v>
      </c>
      <c r="F28" s="3" t="s">
        <v>235</v>
      </c>
      <c r="G28" s="3" t="s">
        <v>236</v>
      </c>
      <c r="H28" s="3" t="s">
        <v>237</v>
      </c>
      <c r="I28" s="3" t="s">
        <v>238</v>
      </c>
      <c r="J28" s="2" t="s">
        <v>171</v>
      </c>
      <c r="K28" s="4" t="n">
        <v>4</v>
      </c>
      <c r="L28" s="4" t="n">
        <v>4</v>
      </c>
      <c r="M28" s="2" t="s">
        <v>100</v>
      </c>
      <c r="N28" s="2" t="n">
        <f aca="false">K28*L28</f>
        <v>16</v>
      </c>
      <c r="O28" s="2" t="str">
        <f aca="false">IF(N28&gt;=Notes!$B$7,"Critical",IF(N28&gt;=Notes!$B$8,"High",IF(N28&gt;=Notes!$B$9,"Medium","Low")))</f>
        <v>High</v>
      </c>
    </row>
    <row r="29" customFormat="false" ht="23.85" hidden="false" customHeight="false" outlineLevel="0" collapsed="false">
      <c r="A29" s="2" t="s">
        <v>239</v>
      </c>
      <c r="B29" s="2" t="s">
        <v>42</v>
      </c>
      <c r="C29" s="2" t="s">
        <v>45</v>
      </c>
      <c r="D29" s="3" t="s">
        <v>46</v>
      </c>
      <c r="E29" s="2" t="s">
        <v>94</v>
      </c>
      <c r="F29" s="3" t="s">
        <v>240</v>
      </c>
      <c r="G29" s="3" t="s">
        <v>241</v>
      </c>
      <c r="H29" s="3" t="s">
        <v>242</v>
      </c>
      <c r="I29" s="3" t="s">
        <v>243</v>
      </c>
      <c r="J29" s="2" t="s">
        <v>99</v>
      </c>
      <c r="K29" s="4" t="n">
        <v>4</v>
      </c>
      <c r="L29" s="4" t="n">
        <v>4</v>
      </c>
      <c r="M29" s="2" t="s">
        <v>106</v>
      </c>
      <c r="N29" s="2" t="n">
        <f aca="false">K29*L29</f>
        <v>16</v>
      </c>
      <c r="O29" s="2" t="str">
        <f aca="false">IF(N29&gt;=Notes!$B$7,"Critical",IF(N29&gt;=Notes!$B$8,"High",IF(N29&gt;=Notes!$B$9,"Medium","Low")))</f>
        <v>High</v>
      </c>
    </row>
    <row r="30" customFormat="false" ht="23.85" hidden="false" customHeight="false" outlineLevel="0" collapsed="false">
      <c r="A30" s="2" t="s">
        <v>244</v>
      </c>
      <c r="B30" s="2" t="s">
        <v>42</v>
      </c>
      <c r="C30" s="2" t="s">
        <v>45</v>
      </c>
      <c r="D30" s="3" t="s">
        <v>46</v>
      </c>
      <c r="E30" s="2" t="s">
        <v>115</v>
      </c>
      <c r="F30" s="3" t="s">
        <v>245</v>
      </c>
      <c r="G30" s="3" t="s">
        <v>246</v>
      </c>
      <c r="H30" s="3" t="s">
        <v>247</v>
      </c>
      <c r="I30" s="3" t="s">
        <v>248</v>
      </c>
      <c r="J30" s="2" t="s">
        <v>171</v>
      </c>
      <c r="K30" s="4" t="n">
        <v>3</v>
      </c>
      <c r="L30" s="4" t="n">
        <v>5</v>
      </c>
      <c r="M30" s="2" t="s">
        <v>106</v>
      </c>
      <c r="N30" s="2" t="n">
        <f aca="false">K30*L30</f>
        <v>15</v>
      </c>
      <c r="O30" s="2" t="str">
        <f aca="false">IF(N30&gt;=Notes!$B$7,"Critical",IF(N30&gt;=Notes!$B$8,"High",IF(N30&gt;=Notes!$B$9,"Medium","Low")))</f>
        <v>High</v>
      </c>
    </row>
    <row r="31" customFormat="false" ht="23.85" hidden="false" customHeight="false" outlineLevel="0" collapsed="false">
      <c r="A31" s="2" t="s">
        <v>249</v>
      </c>
      <c r="B31" s="2" t="s">
        <v>47</v>
      </c>
      <c r="C31" s="2" t="s">
        <v>48</v>
      </c>
      <c r="D31" s="3" t="s">
        <v>49</v>
      </c>
      <c r="E31" s="2" t="s">
        <v>94</v>
      </c>
      <c r="F31" s="3" t="s">
        <v>250</v>
      </c>
      <c r="G31" s="3" t="s">
        <v>251</v>
      </c>
      <c r="H31" s="3" t="s">
        <v>252</v>
      </c>
      <c r="I31" s="3" t="s">
        <v>253</v>
      </c>
      <c r="J31" s="2" t="s">
        <v>99</v>
      </c>
      <c r="K31" s="4" t="n">
        <v>4</v>
      </c>
      <c r="L31" s="4" t="n">
        <v>5</v>
      </c>
      <c r="M31" s="2" t="s">
        <v>106</v>
      </c>
      <c r="N31" s="2" t="n">
        <f aca="false">K31*L31</f>
        <v>20</v>
      </c>
      <c r="O31" s="2" t="str">
        <f aca="false">IF(N31&gt;=Notes!$B$7,"Critical",IF(N31&gt;=Notes!$B$8,"High",IF(N31&gt;=Notes!$B$9,"Medium","Low")))</f>
        <v>Critical</v>
      </c>
    </row>
    <row r="32" customFormat="false" ht="23.85" hidden="false" customHeight="false" outlineLevel="0" collapsed="false">
      <c r="A32" s="2" t="s">
        <v>254</v>
      </c>
      <c r="B32" s="2" t="s">
        <v>47</v>
      </c>
      <c r="C32" s="2" t="s">
        <v>48</v>
      </c>
      <c r="D32" s="3" t="s">
        <v>49</v>
      </c>
      <c r="E32" s="2" t="s">
        <v>94</v>
      </c>
      <c r="F32" s="3" t="s">
        <v>255</v>
      </c>
      <c r="G32" s="3" t="s">
        <v>256</v>
      </c>
      <c r="H32" s="3" t="s">
        <v>257</v>
      </c>
      <c r="I32" s="3" t="s">
        <v>258</v>
      </c>
      <c r="J32" s="2" t="s">
        <v>99</v>
      </c>
      <c r="K32" s="4" t="n">
        <v>3</v>
      </c>
      <c r="L32" s="4" t="n">
        <v>3</v>
      </c>
      <c r="M32" s="2" t="s">
        <v>106</v>
      </c>
      <c r="N32" s="2" t="n">
        <f aca="false">K32*L32</f>
        <v>9</v>
      </c>
      <c r="O32" s="2" t="str">
        <f aca="false">IF(N32&gt;=Notes!$B$7,"Critical",IF(N32&gt;=Notes!$B$8,"High",IF(N32&gt;=Notes!$B$9,"Medium","Low")))</f>
        <v>Medium</v>
      </c>
    </row>
    <row r="33" customFormat="false" ht="23.85" hidden="false" customHeight="false" outlineLevel="0" collapsed="false">
      <c r="A33" s="2" t="s">
        <v>259</v>
      </c>
      <c r="B33" s="2" t="s">
        <v>47</v>
      </c>
      <c r="C33" s="2" t="s">
        <v>50</v>
      </c>
      <c r="D33" s="3" t="s">
        <v>51</v>
      </c>
      <c r="E33" s="2" t="s">
        <v>94</v>
      </c>
      <c r="F33" s="3" t="s">
        <v>260</v>
      </c>
      <c r="G33" s="3" t="s">
        <v>261</v>
      </c>
      <c r="H33" s="3" t="s">
        <v>262</v>
      </c>
      <c r="I33" s="3" t="s">
        <v>263</v>
      </c>
      <c r="J33" s="2" t="s">
        <v>99</v>
      </c>
      <c r="K33" s="4" t="n">
        <v>3</v>
      </c>
      <c r="L33" s="4" t="n">
        <v>4</v>
      </c>
      <c r="M33" s="2" t="s">
        <v>106</v>
      </c>
      <c r="N33" s="2" t="n">
        <f aca="false">K33*L33</f>
        <v>12</v>
      </c>
      <c r="O33" s="2" t="str">
        <f aca="false">IF(N33&gt;=Notes!$B$7,"Critical",IF(N33&gt;=Notes!$B$8,"High",IF(N33&gt;=Notes!$B$9,"Medium","Low")))</f>
        <v>High</v>
      </c>
    </row>
    <row r="34" customFormat="false" ht="23.85" hidden="false" customHeight="false" outlineLevel="0" collapsed="false">
      <c r="A34" s="2" t="s">
        <v>264</v>
      </c>
      <c r="B34" s="2" t="s">
        <v>47</v>
      </c>
      <c r="C34" s="2" t="s">
        <v>50</v>
      </c>
      <c r="D34" s="3" t="s">
        <v>51</v>
      </c>
      <c r="E34" s="2" t="s">
        <v>115</v>
      </c>
      <c r="F34" s="3" t="s">
        <v>265</v>
      </c>
      <c r="G34" s="3" t="s">
        <v>266</v>
      </c>
      <c r="H34" s="3" t="s">
        <v>267</v>
      </c>
      <c r="I34" s="3" t="s">
        <v>268</v>
      </c>
      <c r="J34" s="2" t="s">
        <v>171</v>
      </c>
      <c r="K34" s="4" t="n">
        <v>3</v>
      </c>
      <c r="L34" s="4" t="n">
        <v>4</v>
      </c>
      <c r="M34" s="2" t="s">
        <v>100</v>
      </c>
      <c r="N34" s="2" t="n">
        <f aca="false">K34*L34</f>
        <v>12</v>
      </c>
      <c r="O34" s="2" t="str">
        <f aca="false">IF(N34&gt;=Notes!$B$7,"Critical",IF(N34&gt;=Notes!$B$8,"High",IF(N34&gt;=Notes!$B$9,"Medium","Low")))</f>
        <v>High</v>
      </c>
    </row>
    <row r="35" customFormat="false" ht="23.85" hidden="false" customHeight="false" outlineLevel="0" collapsed="false">
      <c r="A35" s="2" t="s">
        <v>269</v>
      </c>
      <c r="B35" s="2" t="s">
        <v>47</v>
      </c>
      <c r="C35" s="2" t="s">
        <v>52</v>
      </c>
      <c r="D35" s="3" t="s">
        <v>53</v>
      </c>
      <c r="E35" s="2" t="s">
        <v>94</v>
      </c>
      <c r="F35" s="3" t="s">
        <v>270</v>
      </c>
      <c r="G35" s="3" t="s">
        <v>271</v>
      </c>
      <c r="H35" s="3" t="s">
        <v>272</v>
      </c>
      <c r="I35" s="3" t="s">
        <v>273</v>
      </c>
      <c r="J35" s="2" t="s">
        <v>99</v>
      </c>
      <c r="K35" s="4" t="n">
        <v>4</v>
      </c>
      <c r="L35" s="4" t="n">
        <v>4</v>
      </c>
      <c r="M35" s="2" t="s">
        <v>100</v>
      </c>
      <c r="N35" s="2" t="n">
        <f aca="false">K35*L35</f>
        <v>16</v>
      </c>
      <c r="O35" s="2" t="str">
        <f aca="false">IF(N35&gt;=Notes!$B$7,"Critical",IF(N35&gt;=Notes!$B$8,"High",IF(N35&gt;=Notes!$B$9,"Medium","Low")))</f>
        <v>High</v>
      </c>
    </row>
    <row r="36" customFormat="false" ht="23.85" hidden="false" customHeight="false" outlineLevel="0" collapsed="false">
      <c r="A36" s="2" t="s">
        <v>274</v>
      </c>
      <c r="B36" s="2" t="s">
        <v>47</v>
      </c>
      <c r="C36" s="2" t="s">
        <v>52</v>
      </c>
      <c r="D36" s="3" t="s">
        <v>53</v>
      </c>
      <c r="E36" s="2" t="s">
        <v>94</v>
      </c>
      <c r="F36" s="3" t="s">
        <v>275</v>
      </c>
      <c r="G36" s="3" t="s">
        <v>276</v>
      </c>
      <c r="H36" s="3" t="s">
        <v>277</v>
      </c>
      <c r="I36" s="3" t="s">
        <v>278</v>
      </c>
      <c r="J36" s="2" t="s">
        <v>99</v>
      </c>
      <c r="K36" s="4" t="n">
        <v>3</v>
      </c>
      <c r="L36" s="4" t="n">
        <v>3</v>
      </c>
      <c r="M36" s="2" t="s">
        <v>279</v>
      </c>
      <c r="N36" s="2" t="n">
        <f aca="false">K36*L36</f>
        <v>9</v>
      </c>
      <c r="O36" s="2" t="str">
        <f aca="false">IF(N36&gt;=Notes!$B$7,"Critical",IF(N36&gt;=Notes!$B$8,"High",IF(N36&gt;=Notes!$B$9,"Medium","Low")))</f>
        <v>Medium</v>
      </c>
    </row>
    <row r="37" customFormat="false" ht="23.85" hidden="false" customHeight="false" outlineLevel="0" collapsed="false">
      <c r="A37" s="2" t="s">
        <v>280</v>
      </c>
      <c r="B37" s="2" t="s">
        <v>47</v>
      </c>
      <c r="C37" s="2" t="s">
        <v>54</v>
      </c>
      <c r="D37" s="3" t="s">
        <v>55</v>
      </c>
      <c r="E37" s="2" t="s">
        <v>94</v>
      </c>
      <c r="F37" s="3" t="s">
        <v>281</v>
      </c>
      <c r="G37" s="3" t="s">
        <v>282</v>
      </c>
      <c r="H37" s="3" t="s">
        <v>283</v>
      </c>
      <c r="I37" s="3" t="s">
        <v>284</v>
      </c>
      <c r="J37" s="2" t="s">
        <v>112</v>
      </c>
      <c r="K37" s="4" t="n">
        <v>3</v>
      </c>
      <c r="L37" s="4" t="n">
        <v>5</v>
      </c>
      <c r="M37" s="2" t="s">
        <v>106</v>
      </c>
      <c r="N37" s="2" t="n">
        <f aca="false">K37*L37</f>
        <v>15</v>
      </c>
      <c r="O37" s="2" t="str">
        <f aca="false">IF(N37&gt;=Notes!$B$7,"Critical",IF(N37&gt;=Notes!$B$8,"High",IF(N37&gt;=Notes!$B$9,"Medium","Low")))</f>
        <v>High</v>
      </c>
    </row>
    <row r="38" customFormat="false" ht="23.85" hidden="false" customHeight="false" outlineLevel="0" collapsed="false">
      <c r="A38" s="2" t="s">
        <v>285</v>
      </c>
      <c r="B38" s="2" t="s">
        <v>56</v>
      </c>
      <c r="C38" s="2" t="s">
        <v>57</v>
      </c>
      <c r="D38" s="3" t="s">
        <v>58</v>
      </c>
      <c r="E38" s="2" t="s">
        <v>94</v>
      </c>
      <c r="F38" s="3" t="s">
        <v>286</v>
      </c>
      <c r="G38" s="3" t="s">
        <v>287</v>
      </c>
      <c r="H38" s="3" t="s">
        <v>288</v>
      </c>
      <c r="I38" s="3" t="s">
        <v>289</v>
      </c>
      <c r="J38" s="2" t="s">
        <v>99</v>
      </c>
      <c r="K38" s="4" t="n">
        <v>4</v>
      </c>
      <c r="L38" s="4" t="n">
        <v>5</v>
      </c>
      <c r="M38" s="2" t="s">
        <v>106</v>
      </c>
      <c r="N38" s="2" t="n">
        <f aca="false">K38*L38</f>
        <v>20</v>
      </c>
      <c r="O38" s="2" t="str">
        <f aca="false">IF(N38&gt;=Notes!$B$7,"Critical",IF(N38&gt;=Notes!$B$8,"High",IF(N38&gt;=Notes!$B$9,"Medium","Low")))</f>
        <v>Critical</v>
      </c>
    </row>
    <row r="39" customFormat="false" ht="23.85" hidden="false" customHeight="false" outlineLevel="0" collapsed="false">
      <c r="A39" s="2" t="s">
        <v>290</v>
      </c>
      <c r="B39" s="2" t="s">
        <v>56</v>
      </c>
      <c r="C39" s="2" t="s">
        <v>57</v>
      </c>
      <c r="D39" s="3" t="s">
        <v>58</v>
      </c>
      <c r="E39" s="2" t="s">
        <v>94</v>
      </c>
      <c r="F39" s="3" t="s">
        <v>291</v>
      </c>
      <c r="G39" s="3" t="s">
        <v>292</v>
      </c>
      <c r="H39" s="3" t="s">
        <v>293</v>
      </c>
      <c r="I39" s="3" t="s">
        <v>294</v>
      </c>
      <c r="J39" s="2" t="s">
        <v>182</v>
      </c>
      <c r="K39" s="4" t="n">
        <v>4</v>
      </c>
      <c r="L39" s="4" t="n">
        <v>5</v>
      </c>
      <c r="M39" s="2" t="s">
        <v>106</v>
      </c>
      <c r="N39" s="2" t="n">
        <f aca="false">K39*L39</f>
        <v>20</v>
      </c>
      <c r="O39" s="2" t="str">
        <f aca="false">IF(N39&gt;=Notes!$B$7,"Critical",IF(N39&gt;=Notes!$B$8,"High",IF(N39&gt;=Notes!$B$9,"Medium","Low")))</f>
        <v>Critical</v>
      </c>
    </row>
    <row r="40" customFormat="false" ht="23.85" hidden="false" customHeight="false" outlineLevel="0" collapsed="false">
      <c r="A40" s="2" t="s">
        <v>295</v>
      </c>
      <c r="B40" s="2" t="s">
        <v>56</v>
      </c>
      <c r="C40" s="2" t="s">
        <v>59</v>
      </c>
      <c r="D40" s="3" t="s">
        <v>60</v>
      </c>
      <c r="E40" s="2" t="s">
        <v>94</v>
      </c>
      <c r="F40" s="3" t="s">
        <v>296</v>
      </c>
      <c r="G40" s="3" t="s">
        <v>297</v>
      </c>
      <c r="H40" s="3" t="s">
        <v>298</v>
      </c>
      <c r="I40" s="3" t="s">
        <v>299</v>
      </c>
      <c r="J40" s="2" t="s">
        <v>99</v>
      </c>
      <c r="K40" s="4" t="n">
        <v>3</v>
      </c>
      <c r="L40" s="4" t="n">
        <v>3</v>
      </c>
      <c r="M40" s="2" t="s">
        <v>279</v>
      </c>
      <c r="N40" s="2" t="n">
        <f aca="false">K40*L40</f>
        <v>9</v>
      </c>
      <c r="O40" s="2" t="str">
        <f aca="false">IF(N40&gt;=Notes!$B$7,"Critical",IF(N40&gt;=Notes!$B$8,"High",IF(N40&gt;=Notes!$B$9,"Medium","Low")))</f>
        <v>Medium</v>
      </c>
    </row>
  </sheetData>
  <autoFilter ref="A1:O40"/>
  <conditionalFormatting sqref="O2:O40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6"/>
    <col collapsed="false" customWidth="true" hidden="false" outlineLevel="0" max="3" min="3" style="0" width="9"/>
    <col collapsed="false" customWidth="true" hidden="false" outlineLevel="0" max="4" min="4" style="0" width="16"/>
    <col collapsed="false" customWidth="true" hidden="false" outlineLevel="0" max="5" min="5" style="0" width="80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22"/>
    <col collapsed="false" customWidth="true" hidden="false" outlineLevel="0" max="9" min="9" style="0" width="10"/>
  </cols>
  <sheetData>
    <row r="1" customFormat="false" ht="31.5" hidden="false" customHeight="true" outlineLevel="0" collapsed="false">
      <c r="A1" s="1" t="s">
        <v>300</v>
      </c>
      <c r="B1" s="1" t="s">
        <v>81</v>
      </c>
      <c r="C1" s="1" t="s">
        <v>1</v>
      </c>
      <c r="D1" s="1" t="s">
        <v>301</v>
      </c>
      <c r="E1" s="1" t="s">
        <v>302</v>
      </c>
      <c r="F1" s="1" t="s">
        <v>87</v>
      </c>
      <c r="G1" s="1" t="s">
        <v>303</v>
      </c>
      <c r="H1" s="1" t="s">
        <v>304</v>
      </c>
      <c r="I1" s="1" t="s">
        <v>305</v>
      </c>
    </row>
    <row r="2" customFormat="false" ht="15" hidden="false" customHeight="false" outlineLevel="0" collapsed="false">
      <c r="A2" s="2" t="s">
        <v>306</v>
      </c>
      <c r="B2" s="2" t="s">
        <v>93</v>
      </c>
      <c r="C2" s="2" t="s">
        <v>12</v>
      </c>
      <c r="D2" s="2" t="s">
        <v>307</v>
      </c>
      <c r="E2" s="3" t="s">
        <v>308</v>
      </c>
      <c r="F2" s="2" t="s">
        <v>99</v>
      </c>
      <c r="G2" s="3"/>
      <c r="H2" s="3"/>
      <c r="I2" s="2" t="str">
        <f aca="false">INDEX('Gap Register'!$O$2:$O$40,MATCH(B2,'Gap Register'!$A$2:$A$40,0))</f>
        <v>High</v>
      </c>
    </row>
    <row r="3" customFormat="false" ht="15" hidden="false" customHeight="false" outlineLevel="0" collapsed="false">
      <c r="A3" s="2" t="s">
        <v>309</v>
      </c>
      <c r="B3" s="2" t="s">
        <v>93</v>
      </c>
      <c r="C3" s="2" t="s">
        <v>12</v>
      </c>
      <c r="D3" s="2" t="s">
        <v>310</v>
      </c>
      <c r="E3" s="3" t="s">
        <v>311</v>
      </c>
      <c r="F3" s="2" t="s">
        <v>99</v>
      </c>
      <c r="G3" s="3"/>
      <c r="H3" s="3"/>
      <c r="I3" s="2" t="str">
        <f aca="false">INDEX('Gap Register'!$O$2:$O$40,MATCH(B3,'Gap Register'!$A$2:$A$40,0))</f>
        <v>High</v>
      </c>
    </row>
    <row r="4" customFormat="false" ht="15" hidden="false" customHeight="false" outlineLevel="0" collapsed="false">
      <c r="A4" s="2" t="s">
        <v>312</v>
      </c>
      <c r="B4" s="2" t="s">
        <v>101</v>
      </c>
      <c r="C4" s="2" t="s">
        <v>12</v>
      </c>
      <c r="D4" s="2" t="s">
        <v>307</v>
      </c>
      <c r="E4" s="3" t="s">
        <v>313</v>
      </c>
      <c r="F4" s="2" t="s">
        <v>99</v>
      </c>
      <c r="G4" s="3"/>
      <c r="H4" s="3"/>
      <c r="I4" s="2" t="str">
        <f aca="false">INDEX('Gap Register'!$O$2:$O$40,MATCH(B4,'Gap Register'!$A$2:$A$40,0))</f>
        <v>High</v>
      </c>
    </row>
    <row r="5" customFormat="false" ht="15" hidden="false" customHeight="false" outlineLevel="0" collapsed="false">
      <c r="A5" s="2" t="s">
        <v>314</v>
      </c>
      <c r="B5" s="2" t="s">
        <v>107</v>
      </c>
      <c r="C5" s="2" t="s">
        <v>14</v>
      </c>
      <c r="D5" s="2" t="s">
        <v>307</v>
      </c>
      <c r="E5" s="3" t="s">
        <v>315</v>
      </c>
      <c r="F5" s="2" t="s">
        <v>112</v>
      </c>
      <c r="G5" s="3"/>
      <c r="H5" s="3"/>
      <c r="I5" s="2" t="str">
        <f aca="false">INDEX('Gap Register'!$O$2:$O$40,MATCH(B5,'Gap Register'!$A$2:$A$40,0))</f>
        <v>High</v>
      </c>
    </row>
    <row r="6" customFormat="false" ht="15" hidden="false" customHeight="false" outlineLevel="0" collapsed="false">
      <c r="A6" s="2" t="s">
        <v>316</v>
      </c>
      <c r="B6" s="2" t="s">
        <v>107</v>
      </c>
      <c r="C6" s="2" t="s">
        <v>14</v>
      </c>
      <c r="D6" s="2" t="s">
        <v>307</v>
      </c>
      <c r="E6" s="3" t="s">
        <v>317</v>
      </c>
      <c r="F6" s="2" t="s">
        <v>112</v>
      </c>
      <c r="G6" s="3"/>
      <c r="H6" s="3" t="s">
        <v>314</v>
      </c>
      <c r="I6" s="2" t="str">
        <f aca="false">INDEX('Gap Register'!$O$2:$O$40,MATCH(B6,'Gap Register'!$A$2:$A$40,0))</f>
        <v>High</v>
      </c>
    </row>
    <row r="7" customFormat="false" ht="15" hidden="false" customHeight="false" outlineLevel="0" collapsed="false">
      <c r="A7" s="2" t="s">
        <v>318</v>
      </c>
      <c r="B7" s="2" t="s">
        <v>114</v>
      </c>
      <c r="C7" s="2" t="s">
        <v>14</v>
      </c>
      <c r="D7" s="2" t="s">
        <v>310</v>
      </c>
      <c r="E7" s="3" t="s">
        <v>319</v>
      </c>
      <c r="F7" s="2" t="s">
        <v>112</v>
      </c>
      <c r="G7" s="3"/>
      <c r="H7" s="3" t="s">
        <v>314</v>
      </c>
      <c r="I7" s="2" t="str">
        <f aca="false">INDEX('Gap Register'!$O$2:$O$40,MATCH(B7,'Gap Register'!$A$2:$A$40,0))</f>
        <v>Medium</v>
      </c>
    </row>
    <row r="8" customFormat="false" ht="23.85" hidden="false" customHeight="false" outlineLevel="0" collapsed="false">
      <c r="A8" s="2" t="s">
        <v>320</v>
      </c>
      <c r="B8" s="2" t="s">
        <v>120</v>
      </c>
      <c r="C8" s="2" t="s">
        <v>16</v>
      </c>
      <c r="D8" s="2" t="s">
        <v>307</v>
      </c>
      <c r="E8" s="3" t="s">
        <v>321</v>
      </c>
      <c r="F8" s="2" t="s">
        <v>112</v>
      </c>
      <c r="G8" s="3"/>
      <c r="H8" s="3"/>
      <c r="I8" s="2" t="str">
        <f aca="false">INDEX('Gap Register'!$O$2:$O$40,MATCH(B8,'Gap Register'!$A$2:$A$40,0))</f>
        <v>High</v>
      </c>
    </row>
    <row r="9" customFormat="false" ht="15" hidden="false" customHeight="false" outlineLevel="0" collapsed="false">
      <c r="A9" s="2" t="s">
        <v>322</v>
      </c>
      <c r="B9" s="2" t="s">
        <v>125</v>
      </c>
      <c r="C9" s="2" t="s">
        <v>16</v>
      </c>
      <c r="D9" s="2" t="s">
        <v>307</v>
      </c>
      <c r="E9" s="3" t="s">
        <v>323</v>
      </c>
      <c r="F9" s="2" t="s">
        <v>112</v>
      </c>
      <c r="G9" s="3" t="s">
        <v>324</v>
      </c>
      <c r="H9" s="3"/>
      <c r="I9" s="2" t="str">
        <f aca="false">INDEX('Gap Register'!$O$2:$O$40,MATCH(B9,'Gap Register'!$A$2:$A$40,0))</f>
        <v>High</v>
      </c>
    </row>
    <row r="10" customFormat="false" ht="15" hidden="false" customHeight="false" outlineLevel="0" collapsed="false">
      <c r="A10" s="2" t="s">
        <v>325</v>
      </c>
      <c r="B10" s="2" t="s">
        <v>125</v>
      </c>
      <c r="C10" s="2" t="s">
        <v>16</v>
      </c>
      <c r="D10" s="2" t="s">
        <v>310</v>
      </c>
      <c r="E10" s="3" t="s">
        <v>326</v>
      </c>
      <c r="F10" s="2" t="s">
        <v>112</v>
      </c>
      <c r="G10" s="3"/>
      <c r="H10" s="3"/>
      <c r="I10" s="2" t="str">
        <f aca="false">INDEX('Gap Register'!$O$2:$O$40,MATCH(B10,'Gap Register'!$A$2:$A$40,0))</f>
        <v>High</v>
      </c>
    </row>
    <row r="11" customFormat="false" ht="15" hidden="false" customHeight="false" outlineLevel="0" collapsed="false">
      <c r="A11" s="2" t="s">
        <v>327</v>
      </c>
      <c r="B11" s="2" t="s">
        <v>130</v>
      </c>
      <c r="C11" s="2" t="s">
        <v>18</v>
      </c>
      <c r="D11" s="2" t="s">
        <v>307</v>
      </c>
      <c r="E11" s="3" t="s">
        <v>328</v>
      </c>
      <c r="F11" s="2" t="s">
        <v>112</v>
      </c>
      <c r="G11" s="3"/>
      <c r="H11" s="3"/>
      <c r="I11" s="2" t="str">
        <f aca="false">INDEX('Gap Register'!$O$2:$O$40,MATCH(B11,'Gap Register'!$A$2:$A$40,0))</f>
        <v>High</v>
      </c>
    </row>
    <row r="12" customFormat="false" ht="15" hidden="false" customHeight="false" outlineLevel="0" collapsed="false">
      <c r="A12" s="2" t="s">
        <v>329</v>
      </c>
      <c r="B12" s="2" t="s">
        <v>135</v>
      </c>
      <c r="C12" s="2" t="s">
        <v>18</v>
      </c>
      <c r="D12" s="2" t="s">
        <v>330</v>
      </c>
      <c r="E12" s="3" t="s">
        <v>331</v>
      </c>
      <c r="F12" s="2" t="s">
        <v>99</v>
      </c>
      <c r="G12" s="3"/>
      <c r="H12" s="3" t="s">
        <v>327</v>
      </c>
      <c r="I12" s="2" t="str">
        <f aca="false">INDEX('Gap Register'!$O$2:$O$40,MATCH(B12,'Gap Register'!$A$2:$A$40,0))</f>
        <v>High</v>
      </c>
    </row>
    <row r="13" customFormat="false" ht="15" hidden="false" customHeight="false" outlineLevel="0" collapsed="false">
      <c r="A13" s="2" t="s">
        <v>332</v>
      </c>
      <c r="B13" s="2" t="s">
        <v>140</v>
      </c>
      <c r="C13" s="2" t="s">
        <v>20</v>
      </c>
      <c r="D13" s="2" t="s">
        <v>307</v>
      </c>
      <c r="E13" s="3" t="s">
        <v>333</v>
      </c>
      <c r="F13" s="2" t="s">
        <v>112</v>
      </c>
      <c r="G13" s="3"/>
      <c r="H13" s="3"/>
      <c r="I13" s="2" t="str">
        <f aca="false">INDEX('Gap Register'!$O$2:$O$40,MATCH(B13,'Gap Register'!$A$2:$A$40,0))</f>
        <v>Medium</v>
      </c>
    </row>
    <row r="14" customFormat="false" ht="15" hidden="false" customHeight="false" outlineLevel="0" collapsed="false">
      <c r="A14" s="2" t="s">
        <v>334</v>
      </c>
      <c r="B14" s="2" t="s">
        <v>145</v>
      </c>
      <c r="C14" s="2" t="s">
        <v>22</v>
      </c>
      <c r="D14" s="2" t="s">
        <v>307</v>
      </c>
      <c r="E14" s="3" t="s">
        <v>335</v>
      </c>
      <c r="F14" s="2" t="s">
        <v>99</v>
      </c>
      <c r="G14" s="3" t="s">
        <v>336</v>
      </c>
      <c r="H14" s="3"/>
      <c r="I14" s="2" t="str">
        <f aca="false">INDEX('Gap Register'!$O$2:$O$40,MATCH(B14,'Gap Register'!$A$2:$A$40,0))</f>
        <v>Critical</v>
      </c>
    </row>
    <row r="15" customFormat="false" ht="15" hidden="false" customHeight="false" outlineLevel="0" collapsed="false">
      <c r="A15" s="2" t="s">
        <v>337</v>
      </c>
      <c r="B15" s="2" t="s">
        <v>145</v>
      </c>
      <c r="C15" s="2" t="s">
        <v>22</v>
      </c>
      <c r="D15" s="2" t="s">
        <v>310</v>
      </c>
      <c r="E15" s="3" t="s">
        <v>338</v>
      </c>
      <c r="F15" s="2" t="s">
        <v>99</v>
      </c>
      <c r="G15" s="3"/>
      <c r="H15" s="3"/>
      <c r="I15" s="2" t="str">
        <f aca="false">INDEX('Gap Register'!$O$2:$O$40,MATCH(B15,'Gap Register'!$A$2:$A$40,0))</f>
        <v>Critical</v>
      </c>
    </row>
    <row r="16" customFormat="false" ht="15" hidden="false" customHeight="false" outlineLevel="0" collapsed="false">
      <c r="A16" s="2" t="s">
        <v>339</v>
      </c>
      <c r="B16" s="2" t="s">
        <v>151</v>
      </c>
      <c r="C16" s="2" t="s">
        <v>22</v>
      </c>
      <c r="D16" s="2" t="s">
        <v>307</v>
      </c>
      <c r="E16" s="3" t="s">
        <v>340</v>
      </c>
      <c r="F16" s="2" t="s">
        <v>99</v>
      </c>
      <c r="G16" s="3" t="s">
        <v>336</v>
      </c>
      <c r="H16" s="3"/>
      <c r="I16" s="2" t="str">
        <f aca="false">INDEX('Gap Register'!$O$2:$O$40,MATCH(B16,'Gap Register'!$A$2:$A$40,0))</f>
        <v>Critical</v>
      </c>
    </row>
    <row r="17" customFormat="false" ht="15" hidden="false" customHeight="false" outlineLevel="0" collapsed="false">
      <c r="A17" s="2" t="s">
        <v>341</v>
      </c>
      <c r="B17" s="2" t="s">
        <v>151</v>
      </c>
      <c r="C17" s="2" t="s">
        <v>22</v>
      </c>
      <c r="D17" s="2" t="s">
        <v>342</v>
      </c>
      <c r="E17" s="3" t="s">
        <v>343</v>
      </c>
      <c r="F17" s="2" t="s">
        <v>99</v>
      </c>
      <c r="G17" s="3"/>
      <c r="H17" s="3"/>
      <c r="I17" s="2" t="str">
        <f aca="false">INDEX('Gap Register'!$O$2:$O$40,MATCH(B17,'Gap Register'!$A$2:$A$40,0))</f>
        <v>Critical</v>
      </c>
    </row>
    <row r="18" customFormat="false" ht="15" hidden="false" customHeight="false" outlineLevel="0" collapsed="false">
      <c r="A18" s="2" t="s">
        <v>344</v>
      </c>
      <c r="B18" s="2" t="s">
        <v>151</v>
      </c>
      <c r="C18" s="2" t="s">
        <v>22</v>
      </c>
      <c r="D18" s="2" t="s">
        <v>310</v>
      </c>
      <c r="E18" s="3" t="s">
        <v>345</v>
      </c>
      <c r="F18" s="2" t="s">
        <v>99</v>
      </c>
      <c r="G18" s="3"/>
      <c r="H18" s="3"/>
      <c r="I18" s="2" t="str">
        <f aca="false">INDEX('Gap Register'!$O$2:$O$40,MATCH(B18,'Gap Register'!$A$2:$A$40,0))</f>
        <v>Critical</v>
      </c>
    </row>
    <row r="19" customFormat="false" ht="23.85" hidden="false" customHeight="false" outlineLevel="0" collapsed="false">
      <c r="A19" s="2" t="s">
        <v>346</v>
      </c>
      <c r="B19" s="2" t="s">
        <v>156</v>
      </c>
      <c r="C19" s="2" t="s">
        <v>25</v>
      </c>
      <c r="D19" s="2" t="s">
        <v>342</v>
      </c>
      <c r="E19" s="3" t="s">
        <v>347</v>
      </c>
      <c r="F19" s="2" t="s">
        <v>99</v>
      </c>
      <c r="G19" s="3"/>
      <c r="H19" s="3"/>
      <c r="I19" s="2" t="str">
        <f aca="false">INDEX('Gap Register'!$O$2:$O$40,MATCH(B19,'Gap Register'!$A$2:$A$40,0))</f>
        <v>High</v>
      </c>
    </row>
    <row r="20" customFormat="false" ht="23.85" hidden="false" customHeight="false" outlineLevel="0" collapsed="false">
      <c r="A20" s="2" t="s">
        <v>348</v>
      </c>
      <c r="B20" s="2" t="s">
        <v>156</v>
      </c>
      <c r="C20" s="2" t="s">
        <v>25</v>
      </c>
      <c r="D20" s="2" t="s">
        <v>342</v>
      </c>
      <c r="E20" s="3" t="s">
        <v>349</v>
      </c>
      <c r="F20" s="2" t="s">
        <v>99</v>
      </c>
      <c r="G20" s="3"/>
      <c r="H20" s="3"/>
      <c r="I20" s="2" t="str">
        <f aca="false">INDEX('Gap Register'!$O$2:$O$40,MATCH(B20,'Gap Register'!$A$2:$A$40,0))</f>
        <v>High</v>
      </c>
    </row>
    <row r="21" customFormat="false" ht="15" hidden="false" customHeight="false" outlineLevel="0" collapsed="false">
      <c r="A21" s="2" t="s">
        <v>350</v>
      </c>
      <c r="B21" s="2" t="s">
        <v>161</v>
      </c>
      <c r="C21" s="2" t="s">
        <v>25</v>
      </c>
      <c r="D21" s="2" t="s">
        <v>307</v>
      </c>
      <c r="E21" s="3" t="s">
        <v>351</v>
      </c>
      <c r="F21" s="2" t="s">
        <v>99</v>
      </c>
      <c r="G21" s="3"/>
      <c r="H21" s="3"/>
      <c r="I21" s="2" t="str">
        <f aca="false">INDEX('Gap Register'!$O$2:$O$40,MATCH(B21,'Gap Register'!$A$2:$A$40,0))</f>
        <v>Medium</v>
      </c>
    </row>
    <row r="22" customFormat="false" ht="15" hidden="false" customHeight="false" outlineLevel="0" collapsed="false">
      <c r="A22" s="2" t="s">
        <v>352</v>
      </c>
      <c r="B22" s="2" t="s">
        <v>161</v>
      </c>
      <c r="C22" s="2" t="s">
        <v>25</v>
      </c>
      <c r="D22" s="2" t="s">
        <v>310</v>
      </c>
      <c r="E22" s="3" t="s">
        <v>353</v>
      </c>
      <c r="F22" s="2" t="s">
        <v>99</v>
      </c>
      <c r="G22" s="3"/>
      <c r="H22" s="3" t="s">
        <v>350</v>
      </c>
      <c r="I22" s="2" t="str">
        <f aca="false">INDEX('Gap Register'!$O$2:$O$40,MATCH(B22,'Gap Register'!$A$2:$A$40,0))</f>
        <v>Medium</v>
      </c>
    </row>
    <row r="23" customFormat="false" ht="23.85" hidden="false" customHeight="false" outlineLevel="0" collapsed="false">
      <c r="A23" s="2" t="s">
        <v>354</v>
      </c>
      <c r="B23" s="2" t="s">
        <v>166</v>
      </c>
      <c r="C23" s="2" t="s">
        <v>27</v>
      </c>
      <c r="D23" s="2" t="s">
        <v>307</v>
      </c>
      <c r="E23" s="3" t="s">
        <v>355</v>
      </c>
      <c r="F23" s="2" t="s">
        <v>171</v>
      </c>
      <c r="G23" s="3" t="s">
        <v>356</v>
      </c>
      <c r="H23" s="3"/>
      <c r="I23" s="2" t="str">
        <f aca="false">INDEX('Gap Register'!$O$2:$O$40,MATCH(B23,'Gap Register'!$A$2:$A$40,0))</f>
        <v>Critical</v>
      </c>
    </row>
    <row r="24" customFormat="false" ht="15" hidden="false" customHeight="false" outlineLevel="0" collapsed="false">
      <c r="A24" s="2" t="s">
        <v>357</v>
      </c>
      <c r="B24" s="2" t="s">
        <v>166</v>
      </c>
      <c r="C24" s="2" t="s">
        <v>27</v>
      </c>
      <c r="D24" s="2" t="s">
        <v>310</v>
      </c>
      <c r="E24" s="3" t="s">
        <v>358</v>
      </c>
      <c r="F24" s="2" t="s">
        <v>171</v>
      </c>
      <c r="G24" s="3"/>
      <c r="H24" s="3" t="s">
        <v>354</v>
      </c>
      <c r="I24" s="2" t="str">
        <f aca="false">INDEX('Gap Register'!$O$2:$O$40,MATCH(B24,'Gap Register'!$A$2:$A$40,0))</f>
        <v>Critical</v>
      </c>
    </row>
    <row r="25" customFormat="false" ht="15" hidden="false" customHeight="false" outlineLevel="0" collapsed="false">
      <c r="A25" s="2" t="s">
        <v>359</v>
      </c>
      <c r="B25" s="2" t="s">
        <v>172</v>
      </c>
      <c r="C25" s="2" t="s">
        <v>27</v>
      </c>
      <c r="D25" s="2" t="s">
        <v>342</v>
      </c>
      <c r="E25" s="3" t="s">
        <v>360</v>
      </c>
      <c r="F25" s="2" t="s">
        <v>99</v>
      </c>
      <c r="G25" s="3"/>
      <c r="H25" s="3"/>
      <c r="I25" s="2" t="str">
        <f aca="false">INDEX('Gap Register'!$O$2:$O$40,MATCH(B25,'Gap Register'!$A$2:$A$40,0))</f>
        <v>High</v>
      </c>
    </row>
    <row r="26" customFormat="false" ht="15" hidden="false" customHeight="false" outlineLevel="0" collapsed="false">
      <c r="A26" s="2" t="s">
        <v>361</v>
      </c>
      <c r="B26" s="2" t="s">
        <v>172</v>
      </c>
      <c r="C26" s="2" t="s">
        <v>27</v>
      </c>
      <c r="D26" s="2" t="s">
        <v>310</v>
      </c>
      <c r="E26" s="3" t="s">
        <v>362</v>
      </c>
      <c r="F26" s="2" t="s">
        <v>99</v>
      </c>
      <c r="G26" s="3"/>
      <c r="H26" s="3"/>
      <c r="I26" s="2" t="str">
        <f aca="false">INDEX('Gap Register'!$O$2:$O$40,MATCH(B26,'Gap Register'!$A$2:$A$40,0))</f>
        <v>High</v>
      </c>
    </row>
    <row r="27" customFormat="false" ht="15" hidden="false" customHeight="false" outlineLevel="0" collapsed="false">
      <c r="A27" s="2" t="s">
        <v>363</v>
      </c>
      <c r="B27" s="2" t="s">
        <v>177</v>
      </c>
      <c r="C27" s="2" t="s">
        <v>29</v>
      </c>
      <c r="D27" s="2" t="s">
        <v>342</v>
      </c>
      <c r="E27" s="3" t="s">
        <v>364</v>
      </c>
      <c r="F27" s="2" t="s">
        <v>182</v>
      </c>
      <c r="G27" s="3"/>
      <c r="H27" s="3"/>
      <c r="I27" s="2" t="str">
        <f aca="false">INDEX('Gap Register'!$O$2:$O$40,MATCH(B27,'Gap Register'!$A$2:$A$40,0))</f>
        <v>High</v>
      </c>
    </row>
    <row r="28" customFormat="false" ht="15" hidden="false" customHeight="false" outlineLevel="0" collapsed="false">
      <c r="A28" s="2" t="s">
        <v>365</v>
      </c>
      <c r="B28" s="2" t="s">
        <v>177</v>
      </c>
      <c r="C28" s="2" t="s">
        <v>29</v>
      </c>
      <c r="D28" s="2" t="s">
        <v>310</v>
      </c>
      <c r="E28" s="3" t="s">
        <v>366</v>
      </c>
      <c r="F28" s="2" t="s">
        <v>182</v>
      </c>
      <c r="G28" s="3"/>
      <c r="H28" s="3"/>
      <c r="I28" s="2" t="str">
        <f aca="false">INDEX('Gap Register'!$O$2:$O$40,MATCH(B28,'Gap Register'!$A$2:$A$40,0))</f>
        <v>High</v>
      </c>
    </row>
    <row r="29" customFormat="false" ht="15" hidden="false" customHeight="false" outlineLevel="0" collapsed="false">
      <c r="A29" s="2" t="s">
        <v>367</v>
      </c>
      <c r="B29" s="2" t="s">
        <v>183</v>
      </c>
      <c r="C29" s="2" t="s">
        <v>32</v>
      </c>
      <c r="D29" s="2" t="s">
        <v>307</v>
      </c>
      <c r="E29" s="3" t="s">
        <v>368</v>
      </c>
      <c r="F29" s="2" t="s">
        <v>171</v>
      </c>
      <c r="G29" s="3" t="s">
        <v>369</v>
      </c>
      <c r="H29" s="3"/>
      <c r="I29" s="2" t="str">
        <f aca="false">INDEX('Gap Register'!$O$2:$O$40,MATCH(B29,'Gap Register'!$A$2:$A$40,0))</f>
        <v>Critical</v>
      </c>
    </row>
    <row r="30" customFormat="false" ht="15" hidden="false" customHeight="false" outlineLevel="0" collapsed="false">
      <c r="A30" s="2" t="s">
        <v>370</v>
      </c>
      <c r="B30" s="2" t="s">
        <v>183</v>
      </c>
      <c r="C30" s="2" t="s">
        <v>32</v>
      </c>
      <c r="D30" s="2" t="s">
        <v>307</v>
      </c>
      <c r="E30" s="3" t="s">
        <v>371</v>
      </c>
      <c r="F30" s="2" t="s">
        <v>171</v>
      </c>
      <c r="G30" s="3" t="s">
        <v>336</v>
      </c>
      <c r="H30" s="3"/>
      <c r="I30" s="2" t="str">
        <f aca="false">INDEX('Gap Register'!$O$2:$O$40,MATCH(B30,'Gap Register'!$A$2:$A$40,0))</f>
        <v>Critical</v>
      </c>
    </row>
    <row r="31" customFormat="false" ht="15" hidden="false" customHeight="false" outlineLevel="0" collapsed="false">
      <c r="A31" s="2" t="s">
        <v>372</v>
      </c>
      <c r="B31" s="2" t="s">
        <v>183</v>
      </c>
      <c r="C31" s="2" t="s">
        <v>32</v>
      </c>
      <c r="D31" s="2" t="s">
        <v>342</v>
      </c>
      <c r="E31" s="3" t="s">
        <v>373</v>
      </c>
      <c r="F31" s="2" t="s">
        <v>171</v>
      </c>
      <c r="G31" s="3"/>
      <c r="H31" s="3"/>
      <c r="I31" s="2" t="str">
        <f aca="false">INDEX('Gap Register'!$O$2:$O$40,MATCH(B31,'Gap Register'!$A$2:$A$40,0))</f>
        <v>Critical</v>
      </c>
    </row>
    <row r="32" customFormat="false" ht="15" hidden="false" customHeight="false" outlineLevel="0" collapsed="false">
      <c r="A32" s="2" t="s">
        <v>374</v>
      </c>
      <c r="B32" s="2" t="s">
        <v>183</v>
      </c>
      <c r="C32" s="2" t="s">
        <v>32</v>
      </c>
      <c r="D32" s="2" t="s">
        <v>310</v>
      </c>
      <c r="E32" s="3" t="s">
        <v>375</v>
      </c>
      <c r="F32" s="2" t="s">
        <v>171</v>
      </c>
      <c r="G32" s="3"/>
      <c r="H32" s="3"/>
      <c r="I32" s="2" t="str">
        <f aca="false">INDEX('Gap Register'!$O$2:$O$40,MATCH(B32,'Gap Register'!$A$2:$A$40,0))</f>
        <v>Critical</v>
      </c>
    </row>
    <row r="33" customFormat="false" ht="23.85" hidden="false" customHeight="false" outlineLevel="0" collapsed="false">
      <c r="A33" s="2" t="s">
        <v>376</v>
      </c>
      <c r="B33" s="2" t="s">
        <v>183</v>
      </c>
      <c r="C33" s="2" t="s">
        <v>32</v>
      </c>
      <c r="D33" s="2" t="s">
        <v>330</v>
      </c>
      <c r="E33" s="3" t="s">
        <v>377</v>
      </c>
      <c r="F33" s="2" t="s">
        <v>171</v>
      </c>
      <c r="G33" s="3"/>
      <c r="H33" s="3" t="s">
        <v>374</v>
      </c>
      <c r="I33" s="2" t="str">
        <f aca="false">INDEX('Gap Register'!$O$2:$O$40,MATCH(B33,'Gap Register'!$A$2:$A$40,0))</f>
        <v>Critical</v>
      </c>
    </row>
    <row r="34" customFormat="false" ht="15" hidden="false" customHeight="false" outlineLevel="0" collapsed="false">
      <c r="A34" s="2" t="s">
        <v>378</v>
      </c>
      <c r="B34" s="2" t="s">
        <v>188</v>
      </c>
      <c r="C34" s="2" t="s">
        <v>32</v>
      </c>
      <c r="D34" s="2" t="s">
        <v>307</v>
      </c>
      <c r="E34" s="3" t="s">
        <v>379</v>
      </c>
      <c r="F34" s="2" t="s">
        <v>99</v>
      </c>
      <c r="G34" s="3" t="s">
        <v>369</v>
      </c>
      <c r="H34" s="3"/>
      <c r="I34" s="2" t="str">
        <f aca="false">INDEX('Gap Register'!$O$2:$O$40,MATCH(B34,'Gap Register'!$A$2:$A$40,0))</f>
        <v>High</v>
      </c>
    </row>
    <row r="35" customFormat="false" ht="15" hidden="false" customHeight="false" outlineLevel="0" collapsed="false">
      <c r="A35" s="2" t="s">
        <v>380</v>
      </c>
      <c r="B35" s="2" t="s">
        <v>188</v>
      </c>
      <c r="C35" s="2" t="s">
        <v>32</v>
      </c>
      <c r="D35" s="2" t="s">
        <v>342</v>
      </c>
      <c r="E35" s="3" t="s">
        <v>381</v>
      </c>
      <c r="F35" s="2" t="s">
        <v>99</v>
      </c>
      <c r="G35" s="3" t="s">
        <v>324</v>
      </c>
      <c r="H35" s="3"/>
      <c r="I35" s="2" t="str">
        <f aca="false">INDEX('Gap Register'!$O$2:$O$40,MATCH(B35,'Gap Register'!$A$2:$A$40,0))</f>
        <v>High</v>
      </c>
    </row>
    <row r="36" customFormat="false" ht="15" hidden="false" customHeight="false" outlineLevel="0" collapsed="false">
      <c r="A36" s="2" t="s">
        <v>382</v>
      </c>
      <c r="B36" s="2" t="s">
        <v>188</v>
      </c>
      <c r="C36" s="2" t="s">
        <v>32</v>
      </c>
      <c r="D36" s="2" t="s">
        <v>310</v>
      </c>
      <c r="E36" s="3" t="s">
        <v>383</v>
      </c>
      <c r="F36" s="2" t="s">
        <v>99</v>
      </c>
      <c r="G36" s="3"/>
      <c r="H36" s="3"/>
      <c r="I36" s="2" t="str">
        <f aca="false">INDEX('Gap Register'!$O$2:$O$40,MATCH(B36,'Gap Register'!$A$2:$A$40,0))</f>
        <v>High</v>
      </c>
    </row>
    <row r="37" customFormat="false" ht="15" hidden="false" customHeight="false" outlineLevel="0" collapsed="false">
      <c r="A37" s="2" t="s">
        <v>384</v>
      </c>
      <c r="B37" s="2" t="s">
        <v>188</v>
      </c>
      <c r="C37" s="2" t="s">
        <v>32</v>
      </c>
      <c r="D37" s="2" t="s">
        <v>307</v>
      </c>
      <c r="E37" s="3" t="s">
        <v>385</v>
      </c>
      <c r="F37" s="2" t="s">
        <v>99</v>
      </c>
      <c r="G37" s="3"/>
      <c r="H37" s="3"/>
      <c r="I37" s="2" t="str">
        <f aca="false">INDEX('Gap Register'!$O$2:$O$40,MATCH(B37,'Gap Register'!$A$2:$A$40,0))</f>
        <v>High</v>
      </c>
    </row>
    <row r="38" customFormat="false" ht="15" hidden="false" customHeight="false" outlineLevel="0" collapsed="false">
      <c r="A38" s="2" t="s">
        <v>386</v>
      </c>
      <c r="B38" s="2" t="s">
        <v>193</v>
      </c>
      <c r="C38" s="2" t="s">
        <v>34</v>
      </c>
      <c r="D38" s="2" t="s">
        <v>307</v>
      </c>
      <c r="E38" s="3" t="s">
        <v>387</v>
      </c>
      <c r="F38" s="2" t="s">
        <v>182</v>
      </c>
      <c r="G38" s="3"/>
      <c r="H38" s="3"/>
      <c r="I38" s="2" t="str">
        <f aca="false">INDEX('Gap Register'!$O$2:$O$40,MATCH(B38,'Gap Register'!$A$2:$A$40,0))</f>
        <v>Medium</v>
      </c>
    </row>
    <row r="39" customFormat="false" ht="15" hidden="false" customHeight="false" outlineLevel="0" collapsed="false">
      <c r="A39" s="2" t="s">
        <v>388</v>
      </c>
      <c r="B39" s="2" t="s">
        <v>198</v>
      </c>
      <c r="C39" s="2" t="s">
        <v>36</v>
      </c>
      <c r="D39" s="2" t="s">
        <v>307</v>
      </c>
      <c r="E39" s="3" t="s">
        <v>389</v>
      </c>
      <c r="F39" s="2" t="s">
        <v>171</v>
      </c>
      <c r="G39" s="3" t="s">
        <v>390</v>
      </c>
      <c r="H39" s="3"/>
      <c r="I39" s="2" t="str">
        <f aca="false">INDEX('Gap Register'!$O$2:$O$40,MATCH(B39,'Gap Register'!$A$2:$A$40,0))</f>
        <v>Critical</v>
      </c>
    </row>
    <row r="40" customFormat="false" ht="23.85" hidden="false" customHeight="false" outlineLevel="0" collapsed="false">
      <c r="A40" s="2" t="s">
        <v>391</v>
      </c>
      <c r="B40" s="2" t="s">
        <v>198</v>
      </c>
      <c r="C40" s="2" t="s">
        <v>36</v>
      </c>
      <c r="D40" s="2" t="s">
        <v>307</v>
      </c>
      <c r="E40" s="3" t="s">
        <v>392</v>
      </c>
      <c r="F40" s="2" t="s">
        <v>171</v>
      </c>
      <c r="G40" s="3" t="s">
        <v>393</v>
      </c>
      <c r="H40" s="3"/>
      <c r="I40" s="2" t="str">
        <f aca="false">INDEX('Gap Register'!$O$2:$O$40,MATCH(B40,'Gap Register'!$A$2:$A$40,0))</f>
        <v>Critical</v>
      </c>
    </row>
    <row r="41" customFormat="false" ht="15" hidden="false" customHeight="false" outlineLevel="0" collapsed="false">
      <c r="A41" s="2" t="s">
        <v>394</v>
      </c>
      <c r="B41" s="2" t="s">
        <v>198</v>
      </c>
      <c r="C41" s="2" t="s">
        <v>36</v>
      </c>
      <c r="D41" s="2" t="s">
        <v>310</v>
      </c>
      <c r="E41" s="3" t="s">
        <v>395</v>
      </c>
      <c r="F41" s="2" t="s">
        <v>171</v>
      </c>
      <c r="G41" s="3"/>
      <c r="H41" s="3" t="s">
        <v>391</v>
      </c>
      <c r="I41" s="2" t="str">
        <f aca="false">INDEX('Gap Register'!$O$2:$O$40,MATCH(B41,'Gap Register'!$A$2:$A$40,0))</f>
        <v>Critical</v>
      </c>
    </row>
    <row r="42" customFormat="false" ht="15" hidden="false" customHeight="false" outlineLevel="0" collapsed="false">
      <c r="A42" s="2" t="s">
        <v>396</v>
      </c>
      <c r="B42" s="2" t="s">
        <v>203</v>
      </c>
      <c r="C42" s="2" t="s">
        <v>36</v>
      </c>
      <c r="D42" s="2" t="s">
        <v>307</v>
      </c>
      <c r="E42" s="3" t="s">
        <v>397</v>
      </c>
      <c r="F42" s="2" t="s">
        <v>171</v>
      </c>
      <c r="G42" s="3" t="s">
        <v>398</v>
      </c>
      <c r="H42" s="3"/>
      <c r="I42" s="2" t="str">
        <f aca="false">INDEX('Gap Register'!$O$2:$O$40,MATCH(B42,'Gap Register'!$A$2:$A$40,0))</f>
        <v>High</v>
      </c>
    </row>
    <row r="43" customFormat="false" ht="15" hidden="false" customHeight="false" outlineLevel="0" collapsed="false">
      <c r="A43" s="2" t="s">
        <v>399</v>
      </c>
      <c r="B43" s="2" t="s">
        <v>203</v>
      </c>
      <c r="C43" s="2" t="s">
        <v>36</v>
      </c>
      <c r="D43" s="2" t="s">
        <v>307</v>
      </c>
      <c r="E43" s="3" t="s">
        <v>400</v>
      </c>
      <c r="F43" s="2" t="s">
        <v>171</v>
      </c>
      <c r="G43" s="3" t="s">
        <v>398</v>
      </c>
      <c r="H43" s="3"/>
      <c r="I43" s="2" t="str">
        <f aca="false">INDEX('Gap Register'!$O$2:$O$40,MATCH(B43,'Gap Register'!$A$2:$A$40,0))</f>
        <v>High</v>
      </c>
    </row>
    <row r="44" customFormat="false" ht="15" hidden="false" customHeight="false" outlineLevel="0" collapsed="false">
      <c r="A44" s="2" t="s">
        <v>401</v>
      </c>
      <c r="B44" s="2" t="s">
        <v>203</v>
      </c>
      <c r="C44" s="2" t="s">
        <v>36</v>
      </c>
      <c r="D44" s="2" t="s">
        <v>342</v>
      </c>
      <c r="E44" s="3" t="s">
        <v>402</v>
      </c>
      <c r="F44" s="2" t="s">
        <v>171</v>
      </c>
      <c r="G44" s="3" t="s">
        <v>403</v>
      </c>
      <c r="H44" s="3"/>
      <c r="I44" s="2" t="str">
        <f aca="false">INDEX('Gap Register'!$O$2:$O$40,MATCH(B44,'Gap Register'!$A$2:$A$40,0))</f>
        <v>High</v>
      </c>
    </row>
    <row r="45" customFormat="false" ht="15" hidden="false" customHeight="false" outlineLevel="0" collapsed="false">
      <c r="A45" s="2" t="s">
        <v>404</v>
      </c>
      <c r="B45" s="2" t="s">
        <v>208</v>
      </c>
      <c r="C45" s="2" t="s">
        <v>38</v>
      </c>
      <c r="D45" s="2" t="s">
        <v>307</v>
      </c>
      <c r="E45" s="3" t="s">
        <v>405</v>
      </c>
      <c r="F45" s="2" t="s">
        <v>171</v>
      </c>
      <c r="G45" s="3" t="s">
        <v>406</v>
      </c>
      <c r="H45" s="3"/>
      <c r="I45" s="2" t="str">
        <f aca="false">INDEX('Gap Register'!$O$2:$O$40,MATCH(B45,'Gap Register'!$A$2:$A$40,0))</f>
        <v>Critical</v>
      </c>
    </row>
    <row r="46" customFormat="false" ht="15" hidden="false" customHeight="false" outlineLevel="0" collapsed="false">
      <c r="A46" s="2" t="s">
        <v>407</v>
      </c>
      <c r="B46" s="2" t="s">
        <v>208</v>
      </c>
      <c r="C46" s="2" t="s">
        <v>38</v>
      </c>
      <c r="D46" s="2" t="s">
        <v>342</v>
      </c>
      <c r="E46" s="3" t="s">
        <v>408</v>
      </c>
      <c r="F46" s="2" t="s">
        <v>171</v>
      </c>
      <c r="G46" s="3"/>
      <c r="H46" s="3"/>
      <c r="I46" s="2" t="str">
        <f aca="false">INDEX('Gap Register'!$O$2:$O$40,MATCH(B46,'Gap Register'!$A$2:$A$40,0))</f>
        <v>Critical</v>
      </c>
    </row>
    <row r="47" customFormat="false" ht="15" hidden="false" customHeight="false" outlineLevel="0" collapsed="false">
      <c r="A47" s="2" t="s">
        <v>409</v>
      </c>
      <c r="B47" s="2" t="s">
        <v>208</v>
      </c>
      <c r="C47" s="2" t="s">
        <v>38</v>
      </c>
      <c r="D47" s="2" t="s">
        <v>310</v>
      </c>
      <c r="E47" s="3" t="s">
        <v>410</v>
      </c>
      <c r="F47" s="2" t="s">
        <v>171</v>
      </c>
      <c r="G47" s="3"/>
      <c r="H47" s="3"/>
      <c r="I47" s="2" t="str">
        <f aca="false">INDEX('Gap Register'!$O$2:$O$40,MATCH(B47,'Gap Register'!$A$2:$A$40,0))</f>
        <v>Critical</v>
      </c>
    </row>
    <row r="48" customFormat="false" ht="15" hidden="false" customHeight="false" outlineLevel="0" collapsed="false">
      <c r="A48" s="2" t="s">
        <v>411</v>
      </c>
      <c r="B48" s="2" t="s">
        <v>213</v>
      </c>
      <c r="C48" s="2" t="s">
        <v>38</v>
      </c>
      <c r="D48" s="2" t="s">
        <v>330</v>
      </c>
      <c r="E48" s="3" t="s">
        <v>412</v>
      </c>
      <c r="F48" s="2" t="s">
        <v>171</v>
      </c>
      <c r="G48" s="3" t="s">
        <v>413</v>
      </c>
      <c r="H48" s="3"/>
      <c r="I48" s="2" t="str">
        <f aca="false">INDEX('Gap Register'!$O$2:$O$40,MATCH(B48,'Gap Register'!$A$2:$A$40,0))</f>
        <v>Critical</v>
      </c>
    </row>
    <row r="49" customFormat="false" ht="15" hidden="false" customHeight="false" outlineLevel="0" collapsed="false">
      <c r="A49" s="2" t="s">
        <v>414</v>
      </c>
      <c r="B49" s="2" t="s">
        <v>213</v>
      </c>
      <c r="C49" s="2" t="s">
        <v>38</v>
      </c>
      <c r="D49" s="2" t="s">
        <v>310</v>
      </c>
      <c r="E49" s="3" t="s">
        <v>415</v>
      </c>
      <c r="F49" s="2" t="s">
        <v>171</v>
      </c>
      <c r="G49" s="3"/>
      <c r="H49" s="3"/>
      <c r="I49" s="2" t="str">
        <f aca="false">INDEX('Gap Register'!$O$2:$O$40,MATCH(B49,'Gap Register'!$A$2:$A$40,0))</f>
        <v>Critical</v>
      </c>
    </row>
    <row r="50" customFormat="false" ht="23.85" hidden="false" customHeight="false" outlineLevel="0" collapsed="false">
      <c r="A50" s="2" t="s">
        <v>416</v>
      </c>
      <c r="B50" s="2" t="s">
        <v>219</v>
      </c>
      <c r="C50" s="2" t="s">
        <v>40</v>
      </c>
      <c r="D50" s="2" t="s">
        <v>307</v>
      </c>
      <c r="E50" s="3" t="s">
        <v>417</v>
      </c>
      <c r="F50" s="2" t="s">
        <v>171</v>
      </c>
      <c r="G50" s="3" t="s">
        <v>369</v>
      </c>
      <c r="H50" s="3"/>
      <c r="I50" s="2" t="str">
        <f aca="false">INDEX('Gap Register'!$O$2:$O$40,MATCH(B50,'Gap Register'!$A$2:$A$40,0))</f>
        <v>Critical</v>
      </c>
    </row>
    <row r="51" customFormat="false" ht="15" hidden="false" customHeight="false" outlineLevel="0" collapsed="false">
      <c r="A51" s="2" t="s">
        <v>418</v>
      </c>
      <c r="B51" s="2" t="s">
        <v>224</v>
      </c>
      <c r="C51" s="2" t="s">
        <v>40</v>
      </c>
      <c r="D51" s="2" t="s">
        <v>342</v>
      </c>
      <c r="E51" s="3" t="s">
        <v>419</v>
      </c>
      <c r="F51" s="2" t="s">
        <v>171</v>
      </c>
      <c r="G51" s="3" t="s">
        <v>393</v>
      </c>
      <c r="H51" s="3"/>
      <c r="I51" s="2" t="str">
        <f aca="false">INDEX('Gap Register'!$O$2:$O$40,MATCH(B51,'Gap Register'!$A$2:$A$40,0))</f>
        <v>High</v>
      </c>
    </row>
    <row r="52" customFormat="false" ht="15" hidden="false" customHeight="false" outlineLevel="0" collapsed="false">
      <c r="A52" s="2" t="s">
        <v>420</v>
      </c>
      <c r="B52" s="2" t="s">
        <v>224</v>
      </c>
      <c r="C52" s="2" t="s">
        <v>40</v>
      </c>
      <c r="D52" s="2" t="s">
        <v>307</v>
      </c>
      <c r="E52" s="3" t="s">
        <v>421</v>
      </c>
      <c r="F52" s="2" t="s">
        <v>171</v>
      </c>
      <c r="G52" s="3" t="s">
        <v>398</v>
      </c>
      <c r="H52" s="3"/>
      <c r="I52" s="2" t="str">
        <f aca="false">INDEX('Gap Register'!$O$2:$O$40,MATCH(B52,'Gap Register'!$A$2:$A$40,0))</f>
        <v>High</v>
      </c>
    </row>
    <row r="53" customFormat="false" ht="15" hidden="false" customHeight="false" outlineLevel="0" collapsed="false">
      <c r="A53" s="2" t="s">
        <v>422</v>
      </c>
      <c r="B53" s="2" t="s">
        <v>229</v>
      </c>
      <c r="C53" s="2" t="s">
        <v>43</v>
      </c>
      <c r="D53" s="2" t="s">
        <v>307</v>
      </c>
      <c r="E53" s="3" t="s">
        <v>423</v>
      </c>
      <c r="F53" s="2" t="s">
        <v>171</v>
      </c>
      <c r="G53" s="3" t="s">
        <v>336</v>
      </c>
      <c r="H53" s="3"/>
      <c r="I53" s="2" t="str">
        <f aca="false">INDEX('Gap Register'!$O$2:$O$40,MATCH(B53,'Gap Register'!$A$2:$A$40,0))</f>
        <v>Critical</v>
      </c>
    </row>
    <row r="54" customFormat="false" ht="15" hidden="false" customHeight="false" outlineLevel="0" collapsed="false">
      <c r="A54" s="2" t="s">
        <v>424</v>
      </c>
      <c r="B54" s="2" t="s">
        <v>229</v>
      </c>
      <c r="C54" s="2" t="s">
        <v>43</v>
      </c>
      <c r="D54" s="2" t="s">
        <v>310</v>
      </c>
      <c r="E54" s="3" t="s">
        <v>425</v>
      </c>
      <c r="F54" s="2" t="s">
        <v>171</v>
      </c>
      <c r="G54" s="3"/>
      <c r="H54" s="3" t="s">
        <v>422</v>
      </c>
      <c r="I54" s="2" t="str">
        <f aca="false">INDEX('Gap Register'!$O$2:$O$40,MATCH(B54,'Gap Register'!$A$2:$A$40,0))</f>
        <v>Critical</v>
      </c>
    </row>
    <row r="55" customFormat="false" ht="15" hidden="false" customHeight="false" outlineLevel="0" collapsed="false">
      <c r="A55" s="2" t="s">
        <v>426</v>
      </c>
      <c r="B55" s="2" t="s">
        <v>229</v>
      </c>
      <c r="C55" s="2" t="s">
        <v>43</v>
      </c>
      <c r="D55" s="2" t="s">
        <v>307</v>
      </c>
      <c r="E55" s="3" t="s">
        <v>427</v>
      </c>
      <c r="F55" s="2" t="s">
        <v>171</v>
      </c>
      <c r="G55" s="3" t="s">
        <v>428</v>
      </c>
      <c r="H55" s="3"/>
      <c r="I55" s="2" t="str">
        <f aca="false">INDEX('Gap Register'!$O$2:$O$40,MATCH(B55,'Gap Register'!$A$2:$A$40,0))</f>
        <v>Critical</v>
      </c>
    </row>
    <row r="56" customFormat="false" ht="15" hidden="false" customHeight="false" outlineLevel="0" collapsed="false">
      <c r="A56" s="2" t="s">
        <v>429</v>
      </c>
      <c r="B56" s="2" t="s">
        <v>234</v>
      </c>
      <c r="C56" s="2" t="s">
        <v>43</v>
      </c>
      <c r="D56" s="2" t="s">
        <v>307</v>
      </c>
      <c r="E56" s="3" t="s">
        <v>430</v>
      </c>
      <c r="F56" s="2" t="s">
        <v>171</v>
      </c>
      <c r="G56" s="3" t="s">
        <v>336</v>
      </c>
      <c r="H56" s="3"/>
      <c r="I56" s="2" t="str">
        <f aca="false">INDEX('Gap Register'!$O$2:$O$40,MATCH(B56,'Gap Register'!$A$2:$A$40,0))</f>
        <v>High</v>
      </c>
    </row>
    <row r="57" customFormat="false" ht="15" hidden="false" customHeight="false" outlineLevel="0" collapsed="false">
      <c r="A57" s="2" t="s">
        <v>431</v>
      </c>
      <c r="B57" s="2" t="s">
        <v>239</v>
      </c>
      <c r="C57" s="2" t="s">
        <v>45</v>
      </c>
      <c r="D57" s="2" t="s">
        <v>307</v>
      </c>
      <c r="E57" s="3" t="s">
        <v>432</v>
      </c>
      <c r="F57" s="2" t="s">
        <v>99</v>
      </c>
      <c r="G57" s="3"/>
      <c r="H57" s="3"/>
      <c r="I57" s="2" t="str">
        <f aca="false">INDEX('Gap Register'!$O$2:$O$40,MATCH(B57,'Gap Register'!$A$2:$A$40,0))</f>
        <v>High</v>
      </c>
    </row>
    <row r="58" customFormat="false" ht="15" hidden="false" customHeight="false" outlineLevel="0" collapsed="false">
      <c r="A58" s="2" t="s">
        <v>433</v>
      </c>
      <c r="B58" s="2" t="s">
        <v>244</v>
      </c>
      <c r="C58" s="2" t="s">
        <v>45</v>
      </c>
      <c r="D58" s="2" t="s">
        <v>310</v>
      </c>
      <c r="E58" s="3" t="s">
        <v>434</v>
      </c>
      <c r="F58" s="2" t="s">
        <v>171</v>
      </c>
      <c r="G58" s="3"/>
      <c r="H58" s="3" t="s">
        <v>422</v>
      </c>
      <c r="I58" s="2" t="str">
        <f aca="false">INDEX('Gap Register'!$O$2:$O$40,MATCH(B58,'Gap Register'!$A$2:$A$40,0))</f>
        <v>High</v>
      </c>
    </row>
    <row r="59" customFormat="false" ht="15" hidden="false" customHeight="false" outlineLevel="0" collapsed="false">
      <c r="A59" s="2" t="s">
        <v>435</v>
      </c>
      <c r="B59" s="2" t="s">
        <v>249</v>
      </c>
      <c r="C59" s="2" t="s">
        <v>48</v>
      </c>
      <c r="D59" s="2" t="s">
        <v>307</v>
      </c>
      <c r="E59" s="3" t="s">
        <v>436</v>
      </c>
      <c r="F59" s="2" t="s">
        <v>99</v>
      </c>
      <c r="G59" s="3"/>
      <c r="H59" s="3"/>
      <c r="I59" s="2" t="str">
        <f aca="false">INDEX('Gap Register'!$O$2:$O$40,MATCH(B59,'Gap Register'!$A$2:$A$40,0))</f>
        <v>Critical</v>
      </c>
    </row>
    <row r="60" customFormat="false" ht="15" hidden="false" customHeight="false" outlineLevel="0" collapsed="false">
      <c r="A60" s="2" t="s">
        <v>437</v>
      </c>
      <c r="B60" s="2" t="s">
        <v>249</v>
      </c>
      <c r="C60" s="2" t="s">
        <v>48</v>
      </c>
      <c r="D60" s="2" t="s">
        <v>310</v>
      </c>
      <c r="E60" s="3" t="s">
        <v>438</v>
      </c>
      <c r="F60" s="2" t="s">
        <v>99</v>
      </c>
      <c r="G60" s="3"/>
      <c r="H60" s="3" t="s">
        <v>435</v>
      </c>
      <c r="I60" s="2" t="str">
        <f aca="false">INDEX('Gap Register'!$O$2:$O$40,MATCH(B60,'Gap Register'!$A$2:$A$40,0))</f>
        <v>Critical</v>
      </c>
    </row>
    <row r="61" customFormat="false" ht="15" hidden="false" customHeight="false" outlineLevel="0" collapsed="false">
      <c r="A61" s="2" t="s">
        <v>439</v>
      </c>
      <c r="B61" s="2" t="s">
        <v>254</v>
      </c>
      <c r="C61" s="2" t="s">
        <v>48</v>
      </c>
      <c r="D61" s="2" t="s">
        <v>307</v>
      </c>
      <c r="E61" s="3" t="s">
        <v>440</v>
      </c>
      <c r="F61" s="2" t="s">
        <v>99</v>
      </c>
      <c r="G61" s="3"/>
      <c r="H61" s="3"/>
      <c r="I61" s="2" t="str">
        <f aca="false">INDEX('Gap Register'!$O$2:$O$40,MATCH(B61,'Gap Register'!$A$2:$A$40,0))</f>
        <v>Medium</v>
      </c>
    </row>
    <row r="62" customFormat="false" ht="15" hidden="false" customHeight="false" outlineLevel="0" collapsed="false">
      <c r="A62" s="2" t="s">
        <v>441</v>
      </c>
      <c r="B62" s="2" t="s">
        <v>254</v>
      </c>
      <c r="C62" s="2" t="s">
        <v>48</v>
      </c>
      <c r="D62" s="2" t="s">
        <v>307</v>
      </c>
      <c r="E62" s="3" t="s">
        <v>442</v>
      </c>
      <c r="F62" s="2" t="s">
        <v>99</v>
      </c>
      <c r="G62" s="3"/>
      <c r="H62" s="3"/>
      <c r="I62" s="2" t="str">
        <f aca="false">INDEX('Gap Register'!$O$2:$O$40,MATCH(B62,'Gap Register'!$A$2:$A$40,0))</f>
        <v>Medium</v>
      </c>
    </row>
    <row r="63" customFormat="false" ht="15" hidden="false" customHeight="false" outlineLevel="0" collapsed="false">
      <c r="A63" s="2" t="s">
        <v>443</v>
      </c>
      <c r="B63" s="2" t="s">
        <v>259</v>
      </c>
      <c r="C63" s="2" t="s">
        <v>50</v>
      </c>
      <c r="D63" s="2" t="s">
        <v>310</v>
      </c>
      <c r="E63" s="3" t="s">
        <v>444</v>
      </c>
      <c r="F63" s="2" t="s">
        <v>99</v>
      </c>
      <c r="G63" s="3"/>
      <c r="H63" s="3"/>
      <c r="I63" s="2" t="str">
        <f aca="false">INDEX('Gap Register'!$O$2:$O$40,MATCH(B63,'Gap Register'!$A$2:$A$40,0))</f>
        <v>High</v>
      </c>
    </row>
    <row r="64" customFormat="false" ht="15" hidden="false" customHeight="false" outlineLevel="0" collapsed="false">
      <c r="A64" s="2" t="s">
        <v>445</v>
      </c>
      <c r="B64" s="2" t="s">
        <v>259</v>
      </c>
      <c r="C64" s="2" t="s">
        <v>50</v>
      </c>
      <c r="D64" s="2" t="s">
        <v>307</v>
      </c>
      <c r="E64" s="3" t="s">
        <v>446</v>
      </c>
      <c r="F64" s="2" t="s">
        <v>99</v>
      </c>
      <c r="G64" s="3"/>
      <c r="H64" s="3"/>
      <c r="I64" s="2" t="str">
        <f aca="false">INDEX('Gap Register'!$O$2:$O$40,MATCH(B64,'Gap Register'!$A$2:$A$40,0))</f>
        <v>High</v>
      </c>
    </row>
    <row r="65" customFormat="false" ht="15" hidden="false" customHeight="false" outlineLevel="0" collapsed="false">
      <c r="A65" s="2" t="s">
        <v>447</v>
      </c>
      <c r="B65" s="2" t="s">
        <v>264</v>
      </c>
      <c r="C65" s="2" t="s">
        <v>50</v>
      </c>
      <c r="D65" s="2" t="s">
        <v>342</v>
      </c>
      <c r="E65" s="3" t="s">
        <v>448</v>
      </c>
      <c r="F65" s="2" t="s">
        <v>171</v>
      </c>
      <c r="G65" s="3" t="s">
        <v>336</v>
      </c>
      <c r="H65" s="3"/>
      <c r="I65" s="2" t="str">
        <f aca="false">INDEX('Gap Register'!$O$2:$O$40,MATCH(B65,'Gap Register'!$A$2:$A$40,0))</f>
        <v>High</v>
      </c>
    </row>
    <row r="66" customFormat="false" ht="23.85" hidden="false" customHeight="false" outlineLevel="0" collapsed="false">
      <c r="A66" s="2" t="s">
        <v>449</v>
      </c>
      <c r="B66" s="2" t="s">
        <v>269</v>
      </c>
      <c r="C66" s="2" t="s">
        <v>52</v>
      </c>
      <c r="D66" s="2" t="s">
        <v>307</v>
      </c>
      <c r="E66" s="3" t="s">
        <v>450</v>
      </c>
      <c r="F66" s="2" t="s">
        <v>99</v>
      </c>
      <c r="G66" s="3"/>
      <c r="H66" s="3"/>
      <c r="I66" s="2" t="str">
        <f aca="false">INDEX('Gap Register'!$O$2:$O$40,MATCH(B66,'Gap Register'!$A$2:$A$40,0))</f>
        <v>High</v>
      </c>
    </row>
    <row r="67" customFormat="false" ht="15" hidden="false" customHeight="false" outlineLevel="0" collapsed="false">
      <c r="A67" s="2" t="s">
        <v>451</v>
      </c>
      <c r="B67" s="2" t="s">
        <v>274</v>
      </c>
      <c r="C67" s="2" t="s">
        <v>52</v>
      </c>
      <c r="D67" s="2" t="s">
        <v>310</v>
      </c>
      <c r="E67" s="3" t="s">
        <v>452</v>
      </c>
      <c r="F67" s="2" t="s">
        <v>99</v>
      </c>
      <c r="G67" s="3"/>
      <c r="H67" s="3"/>
      <c r="I67" s="2" t="str">
        <f aca="false">INDEX('Gap Register'!$O$2:$O$40,MATCH(B67,'Gap Register'!$A$2:$A$40,0))</f>
        <v>Medium</v>
      </c>
    </row>
    <row r="68" customFormat="false" ht="15" hidden="false" customHeight="false" outlineLevel="0" collapsed="false">
      <c r="A68" s="2" t="s">
        <v>453</v>
      </c>
      <c r="B68" s="2" t="s">
        <v>280</v>
      </c>
      <c r="C68" s="2" t="s">
        <v>54</v>
      </c>
      <c r="D68" s="2" t="s">
        <v>307</v>
      </c>
      <c r="E68" s="3" t="s">
        <v>454</v>
      </c>
      <c r="F68" s="2" t="s">
        <v>112</v>
      </c>
      <c r="G68" s="3" t="s">
        <v>398</v>
      </c>
      <c r="H68" s="3"/>
      <c r="I68" s="2" t="str">
        <f aca="false">INDEX('Gap Register'!$O$2:$O$40,MATCH(B68,'Gap Register'!$A$2:$A$40,0))</f>
        <v>High</v>
      </c>
    </row>
    <row r="69" customFormat="false" ht="15" hidden="false" customHeight="false" outlineLevel="0" collapsed="false">
      <c r="A69" s="2" t="s">
        <v>455</v>
      </c>
      <c r="B69" s="2" t="s">
        <v>285</v>
      </c>
      <c r="C69" s="2" t="s">
        <v>57</v>
      </c>
      <c r="D69" s="2" t="s">
        <v>307</v>
      </c>
      <c r="E69" s="3" t="s">
        <v>456</v>
      </c>
      <c r="F69" s="2" t="s">
        <v>99</v>
      </c>
      <c r="G69" s="3" t="s">
        <v>457</v>
      </c>
      <c r="H69" s="3"/>
      <c r="I69" s="2" t="str">
        <f aca="false">INDEX('Gap Register'!$O$2:$O$40,MATCH(B69,'Gap Register'!$A$2:$A$40,0))</f>
        <v>Critical</v>
      </c>
    </row>
    <row r="70" customFormat="false" ht="15" hidden="false" customHeight="false" outlineLevel="0" collapsed="false">
      <c r="A70" s="2" t="s">
        <v>458</v>
      </c>
      <c r="B70" s="2" t="s">
        <v>285</v>
      </c>
      <c r="C70" s="2" t="s">
        <v>57</v>
      </c>
      <c r="D70" s="2" t="s">
        <v>342</v>
      </c>
      <c r="E70" s="3" t="s">
        <v>459</v>
      </c>
      <c r="F70" s="2" t="s">
        <v>99</v>
      </c>
      <c r="G70" s="3" t="s">
        <v>393</v>
      </c>
      <c r="H70" s="3"/>
      <c r="I70" s="2" t="str">
        <f aca="false">INDEX('Gap Register'!$O$2:$O$40,MATCH(B70,'Gap Register'!$A$2:$A$40,0))</f>
        <v>Critical</v>
      </c>
    </row>
    <row r="71" customFormat="false" ht="15" hidden="false" customHeight="false" outlineLevel="0" collapsed="false">
      <c r="A71" s="2" t="s">
        <v>460</v>
      </c>
      <c r="B71" s="2" t="s">
        <v>290</v>
      </c>
      <c r="C71" s="2" t="s">
        <v>57</v>
      </c>
      <c r="D71" s="2" t="s">
        <v>310</v>
      </c>
      <c r="E71" s="3" t="s">
        <v>461</v>
      </c>
      <c r="F71" s="2" t="s">
        <v>182</v>
      </c>
      <c r="G71" s="3"/>
      <c r="H71" s="3"/>
      <c r="I71" s="2" t="str">
        <f aca="false">INDEX('Gap Register'!$O$2:$O$40,MATCH(B71,'Gap Register'!$A$2:$A$40,0))</f>
        <v>Critical</v>
      </c>
    </row>
    <row r="72" customFormat="false" ht="15" hidden="false" customHeight="false" outlineLevel="0" collapsed="false">
      <c r="A72" s="2" t="s">
        <v>462</v>
      </c>
      <c r="B72" s="2" t="s">
        <v>290</v>
      </c>
      <c r="C72" s="2" t="s">
        <v>57</v>
      </c>
      <c r="D72" s="2" t="s">
        <v>307</v>
      </c>
      <c r="E72" s="3" t="s">
        <v>463</v>
      </c>
      <c r="F72" s="2" t="s">
        <v>182</v>
      </c>
      <c r="G72" s="3"/>
      <c r="H72" s="3"/>
      <c r="I72" s="2" t="str">
        <f aca="false">INDEX('Gap Register'!$O$2:$O$40,MATCH(B72,'Gap Register'!$A$2:$A$40,0))</f>
        <v>Critical</v>
      </c>
    </row>
    <row r="73" customFormat="false" ht="15" hidden="false" customHeight="false" outlineLevel="0" collapsed="false">
      <c r="A73" s="2" t="s">
        <v>464</v>
      </c>
      <c r="B73" s="2" t="s">
        <v>295</v>
      </c>
      <c r="C73" s="2" t="s">
        <v>59</v>
      </c>
      <c r="D73" s="2" t="s">
        <v>310</v>
      </c>
      <c r="E73" s="3" t="s">
        <v>465</v>
      </c>
      <c r="F73" s="2" t="s">
        <v>99</v>
      </c>
      <c r="G73" s="3"/>
      <c r="H73" s="3"/>
      <c r="I73" s="2" t="str">
        <f aca="false">INDEX('Gap Register'!$O$2:$O$40,MATCH(B73,'Gap Register'!$A$2:$A$40,0))</f>
        <v>Medium</v>
      </c>
    </row>
  </sheetData>
  <autoFilter ref="A1:I73"/>
  <conditionalFormatting sqref="I2:I73">
    <cfRule type="cellIs" priority="2" operator="equal" aboveAverage="0" equalAverage="0" bottom="0" percent="0" rank="0" text="" dxfId="0">
      <formula>"Critical"</formula>
    </cfRule>
    <cfRule type="cellIs" priority="3" operator="equal" aboveAverage="0" equalAverage="0" bottom="0" percent="0" rank="0" text="" dxfId="1">
      <formula>"High"</formula>
    </cfRule>
    <cfRule type="cellIs" priority="4" operator="equal" aboveAverage="0" equalAverage="0" bottom="0" percent="0" rank="0" text="" dxfId="2">
      <formula>"Medium"</formula>
    </cfRule>
    <cfRule type="cellIs" priority="5" operator="equal" aboveAverage="0" equalAverage="0" bottom="0" percent="0" rank="0" text="" dxfId="3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2026-10-17T03:20:23Z</dcterms:created>
  <dc:creator>openpyxl</dc:creator>
  <dc:description/>
  <dc:language>en-US</dc:language>
  <cp:lastModifiedBy/>
  <dcterms:modified xsi:type="dcterms:W3CDTF">2026-10-17T03:20:23Z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